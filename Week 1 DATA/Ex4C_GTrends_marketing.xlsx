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vidocampo\Desktop\YUU Folder\DATA\Week 1 DATA\"/>
    </mc:Choice>
  </mc:AlternateContent>
  <xr:revisionPtr revIDLastSave="0" documentId="13_ncr:1_{DDCBF1BF-4CEC-4BA3-93F0-C365D880E78A}" xr6:coauthVersionLast="47" xr6:coauthVersionMax="47" xr10:uidLastSave="{00000000-0000-0000-0000-000000000000}"/>
  <bookViews>
    <workbookView xWindow="-108" yWindow="-108" windowWidth="23256" windowHeight="13896" activeTab="2" xr2:uid="{69E8F3B2-3D65-4A07-ADCB-3B3615AD7B72}"/>
  </bookViews>
  <sheets>
    <sheet name="By search item" sheetId="1" r:id="rId1"/>
    <sheet name="By state" sheetId="2" r:id="rId2"/>
    <sheet name="sales region lookup" sheetId="3" r:id="rId3"/>
  </sheets>
  <externalReferences>
    <externalReference r:id="rId4"/>
  </externalReferences>
  <definedNames>
    <definedName name="_xlnm._FilterDatabase" localSheetId="0" hidden="1">'By search item'!$A$1:$G$52</definedName>
  </definedName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G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<sst xmlns="http://schemas.openxmlformats.org/spreadsheetml/2006/main" count="154" uniqueCount="68">
  <si>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</si>
  <si>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</si>
  <si>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</si>
  <si>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</si>
  <si>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</si>
  <si>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</si>
  <si>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</si>
  <si>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</si>
  <si>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</si>
  <si>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</si>
  <si>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</si>
  <si>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</si>
  <si>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</si>
  <si>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</si>
  <si>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</si>
  <si>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</si>
  <si>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</si>
  <si>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Nevada</t>
  </si>
  <si>
    <t>Arkansas</t>
  </si>
  <si>
    <t>Virginia</t>
  </si>
  <si>
    <t>Connecticut</t>
  </si>
  <si>
    <t>Missouri</t>
  </si>
  <si>
    <t>Florida</t>
  </si>
  <si>
    <t>Michigan</t>
  </si>
  <si>
    <t>Minnesota</t>
  </si>
  <si>
    <t>Kansas</t>
  </si>
  <si>
    <t>Arizona</t>
  </si>
  <si>
    <t>Mississippi</t>
  </si>
  <si>
    <t>Maryland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</si>
  <si>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</si>
  <si>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</si>
  <si>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</si>
  <si>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</si>
  <si>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</si>
  <si>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</si>
  <si>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</si>
  <si>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</si>
  <si>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</si>
  <si>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New Mexico</t>
  </si>
  <si>
    <t>Iowa</t>
  </si>
  <si>
    <t>New York</t>
  </si>
  <si>
    <t>Colorado</t>
  </si>
  <si>
    <t>Washington</t>
  </si>
  <si>
    <t>Massachusetts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</si>
  <si>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</si>
  <si>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</si>
  <si>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</si>
  <si>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</si>
  <si>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</si>
  <si>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</si>
  <si>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</si>
  <si>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</si>
  <si>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Regions:</t>
  </si>
  <si>
    <t>RegionID</t>
  </si>
  <si>
    <t xml:space="preserve">data range </t>
  </si>
  <si>
    <t>(2/1/24 - 2/28/25)</t>
  </si>
  <si>
    <t>Hamburger</t>
  </si>
  <si>
    <t>Milkshake</t>
  </si>
  <si>
    <t>Breakup</t>
  </si>
  <si>
    <t>State:</t>
  </si>
  <si>
    <t>Sales Region: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</si>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</sst>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0.69</c:v>
                </c:pt>
                <c:pt idx="2">
                  <c:v>0.66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0.68</c:v>
                </c:pt>
                <c:pt idx="7">
                  <c:v>0.75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B-421C-AC96-86E27BDCED40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0.19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B-421C-AC96-86E27BDCE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000240"/>
        <c:axId val="2032000720"/>
      </c:barChart>
      <c:catAx>
        <c:axId val="203200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000720"/>
        <c:crosses val="autoZero"/>
        <c:auto val="1"/>
        <c:lblAlgn val="ctr"/>
        <c:lblOffset val="100"/>
        <c:noMultiLvlLbl val="0"/>
      </c:catAx>
      <c:valAx>
        <c:axId val="203200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00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121920</xdr:colOff>
      <xdr:row>8</xdr:row>
      <xdr:rowOff>133350</xdr:rowOff>
    </xdr:from>
    <xdr:to>
      <xdr:col>14</xdr:col>
      <xdr:colOff>426720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672860-5B68-22C6-9567-6901EA9D8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y%20search%20ter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search item"/>
      <sheetName val="By state"/>
      <sheetName val="by search term"/>
    </sheetNames>
    <sheetDataSet>
      <sheetData sheetId="0">
        <row r="1">
          <cell r="B1" t="str">
            <v>Region</v>
          </cell>
          <cell r="C1" t="str">
            <v>Hamburger</v>
          </cell>
          <cell r="D1" t="str">
            <v>Milkshake</v>
          </cell>
        </row>
        <row r="2">
          <cell r="B2" t="str">
            <v>Alabama</v>
          </cell>
          <cell r="C2">
            <v>0.64</v>
          </cell>
          <cell r="D2">
            <v>0.24</v>
          </cell>
        </row>
        <row r="3">
          <cell r="B3" t="str">
            <v>Alaska</v>
          </cell>
          <cell r="C3">
            <v>0.72</v>
          </cell>
          <cell r="D3">
            <v>0.15</v>
          </cell>
        </row>
        <row r="4">
          <cell r="B4" t="str">
            <v>Arizona</v>
          </cell>
          <cell r="C4">
            <v>0.69</v>
          </cell>
          <cell r="D4">
            <v>0.19</v>
          </cell>
        </row>
        <row r="5">
          <cell r="B5" t="str">
            <v>Arkansas</v>
          </cell>
          <cell r="C5">
            <v>0.65</v>
          </cell>
          <cell r="D5">
            <v>0.22</v>
          </cell>
        </row>
        <row r="6">
          <cell r="B6" t="str">
            <v>California</v>
          </cell>
          <cell r="C6">
            <v>0.66</v>
          </cell>
          <cell r="D6">
            <v>0.19</v>
          </cell>
        </row>
        <row r="7">
          <cell r="B7" t="str">
            <v>Colorado</v>
          </cell>
          <cell r="C7">
            <v>0.67</v>
          </cell>
          <cell r="D7">
            <v>0.18</v>
          </cell>
        </row>
        <row r="8">
          <cell r="B8" t="str">
            <v>Connecticut</v>
          </cell>
          <cell r="C8">
            <v>0.63</v>
          </cell>
          <cell r="D8">
            <v>0.21</v>
          </cell>
        </row>
        <row r="9">
          <cell r="B9" t="str">
            <v>Delaware</v>
          </cell>
          <cell r="C9">
            <v>0.64</v>
          </cell>
          <cell r="D9">
            <v>0.23</v>
          </cell>
        </row>
        <row r="10">
          <cell r="B10" t="str">
            <v>District of Columbia</v>
          </cell>
          <cell r="C10">
            <v>0.67</v>
          </cell>
          <cell r="D10">
            <v>0.17</v>
          </cell>
        </row>
        <row r="11">
          <cell r="B11" t="str">
            <v>Florida</v>
          </cell>
          <cell r="C11">
            <v>0.63</v>
          </cell>
          <cell r="D11">
            <v>0.23</v>
          </cell>
        </row>
        <row r="12">
          <cell r="B12" t="str">
            <v>Georgia</v>
          </cell>
          <cell r="C12">
            <v>0.63</v>
          </cell>
          <cell r="D12">
            <v>0.23</v>
          </cell>
        </row>
        <row r="13">
          <cell r="B13" t="str">
            <v>Hawaii</v>
          </cell>
          <cell r="C13">
            <v>0.72</v>
          </cell>
          <cell r="D13">
            <v>0.15</v>
          </cell>
        </row>
        <row r="14">
          <cell r="B14" t="str">
            <v>Idaho</v>
          </cell>
          <cell r="C14">
            <v>0.67</v>
          </cell>
          <cell r="D14">
            <v>0.19</v>
          </cell>
        </row>
        <row r="15">
          <cell r="B15" t="str">
            <v>Illinois</v>
          </cell>
          <cell r="C15">
            <v>0.6</v>
          </cell>
          <cell r="D15">
            <v>0.25</v>
          </cell>
        </row>
        <row r="16">
          <cell r="B16" t="str">
            <v>Indiana</v>
          </cell>
          <cell r="C16">
            <v>0.63</v>
          </cell>
          <cell r="D16">
            <v>0.23</v>
          </cell>
        </row>
        <row r="17">
          <cell r="B17" t="str">
            <v>Iowa</v>
          </cell>
          <cell r="C17">
            <v>0.68</v>
          </cell>
          <cell r="D17">
            <v>0.19</v>
          </cell>
        </row>
        <row r="18">
          <cell r="B18" t="str">
            <v>Kansas</v>
          </cell>
          <cell r="C18">
            <v>0.7</v>
          </cell>
          <cell r="D18">
            <v>0.18</v>
          </cell>
        </row>
        <row r="19">
          <cell r="B19" t="str">
            <v>Kentucky</v>
          </cell>
          <cell r="C19">
            <v>0.64</v>
          </cell>
          <cell r="D19">
            <v>0.23</v>
          </cell>
        </row>
        <row r="20">
          <cell r="B20" t="str">
            <v>Louisiana</v>
          </cell>
          <cell r="C20">
            <v>0.66</v>
          </cell>
          <cell r="D20">
            <v>0.19</v>
          </cell>
        </row>
        <row r="21">
          <cell r="B21" t="str">
            <v>Maine</v>
          </cell>
          <cell r="C21">
            <v>0.7</v>
          </cell>
          <cell r="D21">
            <v>0.17</v>
          </cell>
        </row>
        <row r="22">
          <cell r="B22" t="str">
            <v>Maryland</v>
          </cell>
          <cell r="C22">
            <v>0.62</v>
          </cell>
          <cell r="D22">
            <v>0.23</v>
          </cell>
        </row>
        <row r="23">
          <cell r="B23" t="str">
            <v>Massachusetts</v>
          </cell>
          <cell r="C23">
            <v>0.62</v>
          </cell>
          <cell r="D23">
            <v>0.21</v>
          </cell>
        </row>
        <row r="24">
          <cell r="B24" t="str">
            <v>Michigan</v>
          </cell>
          <cell r="C24">
            <v>0.69</v>
          </cell>
          <cell r="D24">
            <v>0.19</v>
          </cell>
        </row>
        <row r="25">
          <cell r="B25" t="str">
            <v>Minnesota</v>
          </cell>
          <cell r="C25">
            <v>0.66</v>
          </cell>
          <cell r="D25">
            <v>0.2</v>
          </cell>
        </row>
        <row r="26">
          <cell r="B26" t="str">
            <v>Mississippi</v>
          </cell>
          <cell r="C26">
            <v>0.69</v>
          </cell>
          <cell r="D26">
            <v>0.2</v>
          </cell>
        </row>
        <row r="27">
          <cell r="B27" t="str">
            <v>Missouri</v>
          </cell>
          <cell r="C27">
            <v>0.67</v>
          </cell>
          <cell r="D27">
            <v>0.19</v>
          </cell>
        </row>
        <row r="28">
          <cell r="B28" t="str">
            <v>Montana</v>
          </cell>
          <cell r="C28">
            <v>0.75</v>
          </cell>
          <cell r="D28">
            <v>0.14000000000000001</v>
          </cell>
        </row>
        <row r="29">
          <cell r="B29" t="str">
            <v>Nebraska</v>
          </cell>
          <cell r="C29">
            <v>0.69</v>
          </cell>
          <cell r="D29">
            <v>0.18</v>
          </cell>
        </row>
        <row r="30">
          <cell r="B30" t="str">
            <v>Nevada</v>
          </cell>
          <cell r="C30">
            <v>0.67</v>
          </cell>
          <cell r="D30">
            <v>0.2</v>
          </cell>
        </row>
        <row r="31">
          <cell r="B31" t="str">
            <v>New Hampshire</v>
          </cell>
          <cell r="C31">
            <v>0.64</v>
          </cell>
          <cell r="D31">
            <v>0.22</v>
          </cell>
        </row>
        <row r="32">
          <cell r="B32" t="str">
            <v>New Jersey</v>
          </cell>
          <cell r="C32">
            <v>0.6</v>
          </cell>
          <cell r="D32">
            <v>0.24</v>
          </cell>
        </row>
        <row r="33">
          <cell r="B33" t="str">
            <v>New Mexico</v>
          </cell>
          <cell r="C33">
            <v>0.66</v>
          </cell>
          <cell r="D33">
            <v>0.19</v>
          </cell>
        </row>
        <row r="34">
          <cell r="B34" t="str">
            <v>New York</v>
          </cell>
          <cell r="C34">
            <v>0.64</v>
          </cell>
          <cell r="D34">
            <v>0.2</v>
          </cell>
        </row>
        <row r="35">
          <cell r="B35" t="str">
            <v>North Carolina</v>
          </cell>
          <cell r="C35">
            <v>0.63</v>
          </cell>
          <cell r="D35">
            <v>0.24</v>
          </cell>
        </row>
        <row r="36">
          <cell r="B36" t="str">
            <v>North Dakota</v>
          </cell>
          <cell r="C36">
            <v>0.69</v>
          </cell>
          <cell r="D36">
            <v>0.19</v>
          </cell>
        </row>
        <row r="37">
          <cell r="B37" t="str">
            <v>Ohio</v>
          </cell>
          <cell r="C37">
            <v>0.64</v>
          </cell>
          <cell r="D37">
            <v>0.23</v>
          </cell>
        </row>
        <row r="38">
          <cell r="B38" t="str">
            <v>Oklahoma</v>
          </cell>
          <cell r="C38">
            <v>0.69</v>
          </cell>
          <cell r="D38">
            <v>0.19</v>
          </cell>
        </row>
        <row r="39">
          <cell r="B39" t="str">
            <v>Oregon</v>
          </cell>
          <cell r="C39">
            <v>0.68</v>
          </cell>
          <cell r="D39">
            <v>0.18</v>
          </cell>
        </row>
        <row r="40">
          <cell r="B40" t="str">
            <v>Pennsylvania</v>
          </cell>
          <cell r="C40">
            <v>0.61</v>
          </cell>
          <cell r="D40">
            <v>0.23</v>
          </cell>
        </row>
        <row r="41">
          <cell r="B41" t="str">
            <v>Rhode Island</v>
          </cell>
          <cell r="C41">
            <v>0.64</v>
          </cell>
          <cell r="D41">
            <v>0.23</v>
          </cell>
        </row>
        <row r="42">
          <cell r="B42" t="str">
            <v>South Carolina</v>
          </cell>
          <cell r="C42">
            <v>0.65</v>
          </cell>
          <cell r="D42">
            <v>0.23</v>
          </cell>
        </row>
        <row r="43">
          <cell r="B43" t="str">
            <v>South Dakota</v>
          </cell>
          <cell r="C43">
            <v>0.75</v>
          </cell>
          <cell r="D43">
            <v>0.14000000000000001</v>
          </cell>
        </row>
        <row r="44">
          <cell r="B44" t="str">
            <v>Tennessee</v>
          </cell>
          <cell r="C44">
            <v>0.65</v>
          </cell>
          <cell r="D44">
            <v>0.22</v>
          </cell>
        </row>
        <row r="45">
          <cell r="B45" t="str">
            <v>Texas</v>
          </cell>
          <cell r="C45">
            <v>0.67</v>
          </cell>
          <cell r="D45">
            <v>0.2</v>
          </cell>
        </row>
        <row r="46">
          <cell r="B46" t="str">
            <v>Utah</v>
          </cell>
          <cell r="C46">
            <v>0.66</v>
          </cell>
          <cell r="D46">
            <v>0.22</v>
          </cell>
        </row>
        <row r="47">
          <cell r="B47" t="str">
            <v>Vermont</v>
          </cell>
          <cell r="C47">
            <v>0.69</v>
          </cell>
          <cell r="D47">
            <v>0.17</v>
          </cell>
        </row>
        <row r="48">
          <cell r="B48" t="str">
            <v>Virginia</v>
          </cell>
          <cell r="C48">
            <v>0.65</v>
          </cell>
          <cell r="D48">
            <v>0.22</v>
          </cell>
        </row>
        <row r="49">
          <cell r="B49" t="str">
            <v>Washington</v>
          </cell>
          <cell r="C49">
            <v>0.67</v>
          </cell>
          <cell r="D49">
            <v>0.19</v>
          </cell>
        </row>
        <row r="50">
          <cell r="B50" t="str">
            <v>West Virginia</v>
          </cell>
          <cell r="C50">
            <v>0.64</v>
          </cell>
          <cell r="D50">
            <v>0.23</v>
          </cell>
        </row>
        <row r="51">
          <cell r="B51" t="str">
            <v>Wisconsin</v>
          </cell>
          <cell r="C51">
            <v>0.66</v>
          </cell>
          <cell r="D51">
            <v>0.2</v>
          </cell>
        </row>
        <row r="52">
          <cell r="B52" t="str">
            <v>Wyoming</v>
          </cell>
          <cell r="C52">
            <v>0.71</v>
          </cell>
          <cell r="D52">
            <v>0.16</v>
          </cell>
        </row>
      </sheetData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ocampo" refreshedDate="46125.455039699074" createdVersion="8" refreshedVersion="8" minRefreshableVersion="3" recordCount="10" xr:uid="{BC6B796B-6CFB-4B73-9294-AEF863D71F38}">
  <cacheSource type="worksheet">
    <worksheetSource ref="A1:D11" sheet="sales region lookup"/>
  </cacheSource>
  <cacheFields count="4">
    <cacheField name="State: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: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19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8"/>
  </r>
  <r>
    <x v="7"/>
    <x v="1"/>
    <n v="0.66"/>
    <n v="0.2"/>
  </r>
  <r>
    <x v="8"/>
    <x v="1"/>
    <n v="0.66"/>
    <n v="0.2"/>
  </r>
  <r>
    <x v="9"/>
    <x v="1"/>
    <n v="0.69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1D431-7DB0-445D-B8A5-6C93E8D10A1E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53D1-5166-4B00-865A-63F70CF3D7EA}">
  <dimension ref="A1:K52"/>
  <sheetViews>
    <sheetView workbookViewId="0">
      <pane ySplit="1" topLeftCell="A7" activePane="bottomLeft" state="frozen"/>
      <selection pane="bottomLeft" activeCell="B8" sqref="B8"/>
    </sheetView>
  </sheetViews>
  <sheetFormatPr defaultRowHeight="14.4" x14ac:dyDescent="0.3"/>
  <cols>
    <col min="1" max="1" width="11.21875" customWidth="1"/>
    <col min="2" max="2" width="22.5546875" customWidth="1"/>
    <col min="3" max="5" width="10.33203125" customWidth="1"/>
    <col min="6" max="6" width="10.88671875" customWidth="1"/>
    <col min="10" max="10" width="9.5546875" customWidth="1"/>
    <col min="11" max="11" width="15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F1" s="2" t="s">
        <v>52</v>
      </c>
      <c r="G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26</v>
      </c>
      <c r="C4" s="1">
        <v>0.69</v>
      </c>
      <c r="D4" s="1">
        <v>0.19</v>
      </c>
      <c r="E4" s="1">
        <v>0.12</v>
      </c>
    </row>
    <row r="5" spans="1:11" x14ac:dyDescent="0.3">
      <c r="A5">
        <v>4</v>
      </c>
      <c r="B5" t="s">
        <v>18</v>
      </c>
      <c r="C5" s="1">
        <v>0.65</v>
      </c>
      <c r="D5" s="1">
        <v>0.22</v>
      </c>
      <c r="E5" s="1">
        <v>0.13</v>
      </c>
    </row>
    <row r="6" spans="1:11" x14ac:dyDescent="0.3">
      <c r="A6">
        <v>5</v>
      </c>
      <c r="B6" t="s">
        <v>37</v>
      </c>
      <c r="C6" s="1">
        <v>0.66</v>
      </c>
      <c r="D6" s="1">
        <v>0.19</v>
      </c>
      <c r="E6" s="1">
        <v>0.15</v>
      </c>
    </row>
    <row r="7" spans="1:11" x14ac:dyDescent="0.3">
      <c r="A7">
        <v>6</v>
      </c>
      <c r="B7" t="s">
        <v>41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20</v>
      </c>
      <c r="C8" s="1">
        <v>0.63</v>
      </c>
      <c r="D8" s="1">
        <v>0.21</v>
      </c>
      <c r="E8" s="1">
        <v>0.16</v>
      </c>
    </row>
    <row r="9" spans="1:11" x14ac:dyDescent="0.3">
      <c r="A9">
        <v>8</v>
      </c>
      <c r="B9" t="s">
        <v>11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22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46</v>
      </c>
      <c r="C13" s="1">
        <v>0.72</v>
      </c>
      <c r="D13" s="1">
        <v>0.15</v>
      </c>
      <c r="E13" s="1">
        <v>0.13</v>
      </c>
    </row>
    <row r="14" spans="1:11" x14ac:dyDescent="0.3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2</v>
      </c>
      <c r="C15" s="1">
        <v>0.6</v>
      </c>
      <c r="D15" s="1">
        <v>0.25</v>
      </c>
      <c r="E15" s="1">
        <v>0.15</v>
      </c>
    </row>
    <row r="16" spans="1:11" x14ac:dyDescent="0.3">
      <c r="A16">
        <v>15</v>
      </c>
      <c r="B16" t="s">
        <v>7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39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25</v>
      </c>
      <c r="C18" s="1">
        <v>0.7</v>
      </c>
      <c r="D18" s="1">
        <v>0.18</v>
      </c>
      <c r="E18" s="1">
        <v>0.12</v>
      </c>
    </row>
    <row r="19" spans="1:5" x14ac:dyDescent="0.3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3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23</v>
      </c>
      <c r="C24" s="1">
        <v>0.69</v>
      </c>
      <c r="D24" s="1">
        <v>0.19</v>
      </c>
      <c r="E24" s="1">
        <v>0.12</v>
      </c>
    </row>
    <row r="25" spans="1:5" x14ac:dyDescent="0.3">
      <c r="A25">
        <v>24</v>
      </c>
      <c r="B25" t="s">
        <v>24</v>
      </c>
      <c r="C25" s="1">
        <v>0.66</v>
      </c>
      <c r="D25" s="1">
        <v>0.2</v>
      </c>
      <c r="E25" s="1">
        <v>0.14000000000000001</v>
      </c>
    </row>
    <row r="26" spans="1:5" x14ac:dyDescent="0.3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21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31</v>
      </c>
      <c r="C31" s="1">
        <v>0.64</v>
      </c>
      <c r="D31" s="1">
        <v>0.22</v>
      </c>
      <c r="E31" s="1">
        <v>0.14000000000000001</v>
      </c>
    </row>
    <row r="32" spans="1:5" x14ac:dyDescent="0.3">
      <c r="A32">
        <v>31</v>
      </c>
      <c r="B32" t="s">
        <v>16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38</v>
      </c>
      <c r="C33" s="1">
        <v>0.66</v>
      </c>
      <c r="D33" s="1">
        <v>0.19</v>
      </c>
      <c r="E33" s="1">
        <v>0.15</v>
      </c>
    </row>
    <row r="34" spans="1:5" x14ac:dyDescent="0.3">
      <c r="A34">
        <v>33</v>
      </c>
      <c r="B34" t="s">
        <v>40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3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12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10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34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15</v>
      </c>
      <c r="C40" s="1">
        <v>0.61</v>
      </c>
      <c r="D40" s="1">
        <v>0.23</v>
      </c>
      <c r="E40" s="1">
        <v>0.16</v>
      </c>
    </row>
    <row r="41" spans="1:5" x14ac:dyDescent="0.3">
      <c r="A41">
        <v>40</v>
      </c>
      <c r="B41" t="s">
        <v>14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29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8</v>
      </c>
      <c r="C46" s="1">
        <v>0.66</v>
      </c>
      <c r="D46" s="1">
        <v>0.22</v>
      </c>
      <c r="E46" s="1">
        <v>0.12</v>
      </c>
    </row>
    <row r="47" spans="1:5" x14ac:dyDescent="0.3">
      <c r="A47">
        <v>46</v>
      </c>
      <c r="B47" t="s">
        <v>48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19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42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13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G52" xr:uid="{C15053D1-5166-4B00-865A-63F70CF3D7EA}"/>
  <sortState xmlns:xlrd2="http://schemas.microsoft.com/office/spreadsheetml/2017/richdata2" ref="B2:E52">
    <sortCondition ref="B1:B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A4DF-1143-4743-9146-4B4CA1E43101}">
  <dimension ref="A1:AZ4"/>
  <sheetViews>
    <sheetView workbookViewId="0">
      <pane xSplit="1" ySplit="1" topLeftCell="AE2" activePane="bottomRight" state="frozen"/>
      <selection pane="topRight" activeCell="B1" sqref="B1"/>
      <selection pane="bottomLeft" activeCell="A2" sqref="A2"/>
      <selection pane="bottomRight" activeCell="C8" sqref="C8"/>
    </sheetView>
  </sheetViews>
  <sheetFormatPr defaultRowHeight="14.4" x14ac:dyDescent="0.3"/>
  <cols>
    <col min="4" max="4" width="5.5546875" customWidth="1"/>
  </cols>
  <sheetData>
    <row r="1" spans="1:52" x14ac:dyDescent="0.3">
      <c r="A1" t="s">
        <v>0</v>
      </c>
      <c r="B1" t="s">
        <v>5</v>
      </c>
      <c r="C1" t="s">
        <v>50</v>
      </c>
      <c r="D1" t="s">
        <v>26</v>
      </c>
      <c r="E1" t="s">
        <v>18</v>
      </c>
      <c r="F1" t="s">
        <v>37</v>
      </c>
      <c r="G1" t="s">
        <v>41</v>
      </c>
      <c r="H1" t="s">
        <v>20</v>
      </c>
      <c r="I1" t="s">
        <v>11</v>
      </c>
      <c r="J1" t="s">
        <v>51</v>
      </c>
      <c r="K1" t="s">
        <v>22</v>
      </c>
      <c r="L1" t="s">
        <v>9</v>
      </c>
      <c r="M1" t="s">
        <v>46</v>
      </c>
      <c r="N1" t="s">
        <v>30</v>
      </c>
      <c r="O1" t="s">
        <v>2</v>
      </c>
      <c r="P1" t="s">
        <v>7</v>
      </c>
      <c r="Q1" t="s">
        <v>39</v>
      </c>
      <c r="R1" t="s">
        <v>25</v>
      </c>
      <c r="S1" t="s">
        <v>6</v>
      </c>
      <c r="T1" t="s">
        <v>33</v>
      </c>
      <c r="U1" t="s">
        <v>47</v>
      </c>
      <c r="V1" t="s">
        <v>28</v>
      </c>
      <c r="W1" t="s">
        <v>43</v>
      </c>
      <c r="X1" t="s">
        <v>23</v>
      </c>
      <c r="Y1" t="s">
        <v>24</v>
      </c>
      <c r="Z1" t="s">
        <v>27</v>
      </c>
      <c r="AA1" t="s">
        <v>21</v>
      </c>
      <c r="AB1" t="s">
        <v>49</v>
      </c>
      <c r="AC1" t="s">
        <v>36</v>
      </c>
      <c r="AD1" t="s">
        <v>17</v>
      </c>
      <c r="AE1" t="s">
        <v>31</v>
      </c>
      <c r="AF1" t="s">
        <v>16</v>
      </c>
      <c r="AG1" t="s">
        <v>38</v>
      </c>
      <c r="AH1" t="s">
        <v>40</v>
      </c>
      <c r="AI1" t="s">
        <v>3</v>
      </c>
      <c r="AJ1" t="s">
        <v>35</v>
      </c>
      <c r="AK1" t="s">
        <v>12</v>
      </c>
      <c r="AL1" t="s">
        <v>10</v>
      </c>
      <c r="AM1" t="s">
        <v>34</v>
      </c>
      <c r="AN1" t="s">
        <v>15</v>
      </c>
      <c r="AO1" t="s">
        <v>14</v>
      </c>
      <c r="AP1" t="s">
        <v>1</v>
      </c>
      <c r="AQ1" t="s">
        <v>44</v>
      </c>
      <c r="AR1" t="s">
        <v>4</v>
      </c>
      <c r="AS1" t="s">
        <v>29</v>
      </c>
      <c r="AT1" t="s">
        <v>8</v>
      </c>
      <c r="AU1" t="s">
        <v>48</v>
      </c>
      <c r="AV1" t="s">
        <v>19</v>
      </c>
      <c r="AW1" t="s">
        <v>42</v>
      </c>
      <c r="AX1" t="s">
        <v>13</v>
      </c>
      <c r="AY1" t="s">
        <v>32</v>
      </c>
      <c r="AZ1" t="s">
        <v>45</v>
      </c>
    </row>
    <row r="2" spans="1:52" x14ac:dyDescent="0.3">
      <c r="A2" t="s">
        <v>56</v>
      </c>
      <c r="B2" s="1">
        <v>0.64</v>
      </c>
      <c r="C2" s="1">
        <v>0.72</v>
      </c>
      <c r="D2" s="1">
        <v>0.69</v>
      </c>
      <c r="E2" s="1">
        <v>0.65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</v>
      </c>
      <c r="P2" s="1">
        <v>0.63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0.62</v>
      </c>
      <c r="W2" s="1">
        <v>0.62</v>
      </c>
      <c r="X2" s="1">
        <v>0.69</v>
      </c>
      <c r="Y2" s="1">
        <v>0.66</v>
      </c>
      <c r="Z2" s="1">
        <v>0.69</v>
      </c>
      <c r="AA2" s="1">
        <v>0.67</v>
      </c>
      <c r="AB2" s="1">
        <v>0.75</v>
      </c>
      <c r="AC2" s="1">
        <v>0.69</v>
      </c>
      <c r="AD2" s="1">
        <v>0.67</v>
      </c>
      <c r="AE2" s="1">
        <v>0.64</v>
      </c>
      <c r="AF2" s="1">
        <v>0.6</v>
      </c>
      <c r="AG2" s="1">
        <v>0.66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0.65</v>
      </c>
      <c r="AQ2" s="1">
        <v>0.75</v>
      </c>
      <c r="AR2" s="1">
        <v>0.65</v>
      </c>
      <c r="AS2" s="1">
        <v>0.67</v>
      </c>
      <c r="AT2" s="1">
        <v>0.66</v>
      </c>
      <c r="AU2" s="1">
        <v>0.69</v>
      </c>
      <c r="AV2" s="1">
        <v>0.65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">
      <c r="A3" t="s">
        <v>57</v>
      </c>
      <c r="B3" s="1">
        <v>0.24</v>
      </c>
      <c r="C3" s="1">
        <v>0.15</v>
      </c>
      <c r="D3" s="1">
        <v>0.19</v>
      </c>
      <c r="E3" s="1">
        <v>0.22</v>
      </c>
      <c r="F3" s="1">
        <v>0.19</v>
      </c>
      <c r="G3" s="1">
        <v>0.18</v>
      </c>
      <c r="H3" s="1">
        <v>0.21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0.23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0.19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0.22</v>
      </c>
      <c r="AU3" s="1">
        <v>0.17</v>
      </c>
      <c r="AV3" s="1">
        <v>0.22</v>
      </c>
      <c r="AW3" s="1">
        <v>0.19</v>
      </c>
      <c r="AX3" s="1">
        <v>0.23</v>
      </c>
      <c r="AY3" s="1">
        <v>0.2</v>
      </c>
      <c r="AZ3" s="1">
        <v>0.16</v>
      </c>
    </row>
    <row r="4" spans="1:52" x14ac:dyDescent="0.3">
      <c r="A4" t="s">
        <v>58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0.16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0.15</v>
      </c>
      <c r="P4" s="1">
        <v>0.14000000000000001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0.12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9C2D-51A5-4B38-9421-14067E1B199D}">
  <dimension ref="A1:D26"/>
  <sheetViews>
    <sheetView tabSelected="1" workbookViewId="0">
      <selection activeCell="A15" sqref="A15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</cols>
  <sheetData>
    <row r="1" spans="1:4" x14ac:dyDescent="0.3">
      <c r="A1" t="s">
        <v>59</v>
      </c>
      <c r="B1" t="s">
        <v>60</v>
      </c>
      <c r="C1" t="s">
        <v>56</v>
      </c>
      <c r="D1" t="s">
        <v>57</v>
      </c>
    </row>
    <row r="2" spans="1:4" x14ac:dyDescent="0.3">
      <c r="A2" t="s">
        <v>42</v>
      </c>
      <c r="B2" t="s">
        <v>61</v>
      </c>
      <c r="C2" s="4">
        <f>VLOOKUP('sales region lookup'!A2,'[1]By search item'!B:C,2,FALSE)</f>
        <v>0.67</v>
      </c>
      <c r="D2" s="4">
        <f>_xlfn.XLOOKUP(A2, '[1]By search item'!B1:B52, '[1]By search item'!D1:D52, "not found")</f>
        <v>0.19</v>
      </c>
    </row>
    <row r="3" spans="1:4" x14ac:dyDescent="0.3">
      <c r="A3" t="s">
        <v>34</v>
      </c>
      <c r="B3" t="s">
        <v>61</v>
      </c>
      <c r="C3" s="4">
        <f>VLOOKUP('sales region lookup'!A3,'[1]By search item'!B:C,2,FALSE)</f>
        <v>0.68</v>
      </c>
      <c r="D3" s="4">
        <f>_xlfn.XLOOKUP(A3, '[1]By search item'!B2:B53, '[1]By search item'!D2:D53, "not found")</f>
        <v>0.18</v>
      </c>
    </row>
    <row r="4" spans="1:4" x14ac:dyDescent="0.3">
      <c r="A4" t="s">
        <v>30</v>
      </c>
      <c r="B4" t="s">
        <v>61</v>
      </c>
      <c r="C4" s="4">
        <f>VLOOKUP('sales region lookup'!A4,'[1]By search item'!B:C,2,FALSE)</f>
        <v>0.67</v>
      </c>
      <c r="D4" s="4">
        <f>_xlfn.XLOOKUP(A4, '[1]By search item'!B3:B54, '[1]By search item'!D3:D54, "not found")</f>
        <v>0.19</v>
      </c>
    </row>
    <row r="5" spans="1:4" x14ac:dyDescent="0.3">
      <c r="A5" t="s">
        <v>49</v>
      </c>
      <c r="B5" t="s">
        <v>61</v>
      </c>
      <c r="C5" s="4">
        <f>VLOOKUP('sales region lookup'!A5,'[1]By search item'!B:C,2,FALSE)</f>
        <v>0.75</v>
      </c>
      <c r="D5" s="4">
        <f>_xlfn.XLOOKUP(A5, '[1]By search item'!B4:B55, '[1]By search item'!D4:D55, "not found")</f>
        <v>0.14000000000000001</v>
      </c>
    </row>
    <row r="6" spans="1:4" x14ac:dyDescent="0.3">
      <c r="A6" t="s">
        <v>35</v>
      </c>
      <c r="B6" t="s">
        <v>62</v>
      </c>
      <c r="C6" s="4">
        <f>VLOOKUP('sales region lookup'!A6,'[1]By search item'!B:C,2,FALSE)</f>
        <v>0.69</v>
      </c>
      <c r="D6" s="4">
        <f>_xlfn.XLOOKUP(A6, '[1]By search item'!B5:B56, '[1]By search item'!D5:D56, "not found")</f>
        <v>0.19</v>
      </c>
    </row>
    <row r="7" spans="1:4" x14ac:dyDescent="0.3">
      <c r="A7" t="s">
        <v>44</v>
      </c>
      <c r="B7" t="s">
        <v>62</v>
      </c>
      <c r="C7" s="4">
        <f>VLOOKUP('sales region lookup'!A7,'[1]By search item'!B:C,2,FALSE)</f>
        <v>0.75</v>
      </c>
      <c r="D7" s="4">
        <f>_xlfn.XLOOKUP(A7, '[1]By search item'!B6:B57, '[1]By search item'!D6:D57, "not found")</f>
        <v>0.14000000000000001</v>
      </c>
    </row>
    <row r="8" spans="1:4" x14ac:dyDescent="0.3">
      <c r="A8" t="s">
        <v>36</v>
      </c>
      <c r="B8" t="s">
        <v>62</v>
      </c>
      <c r="C8" s="4">
        <f>VLOOKUP('sales region lookup'!A8,'[1]By search item'!B:C,2,FALSE)</f>
        <v>0.69</v>
      </c>
      <c r="D8" s="4">
        <f>_xlfn.XLOOKUP(A8, '[1]By search item'!B7:B58, '[1]By search item'!D7:D58, "not found")</f>
        <v>0.18</v>
      </c>
    </row>
    <row r="9" spans="1:4" x14ac:dyDescent="0.3">
      <c r="A9" t="s">
        <v>24</v>
      </c>
      <c r="B9" t="s">
        <v>62</v>
      </c>
      <c r="C9" s="4">
        <f>VLOOKUP('sales region lookup'!A9,'[1]By search item'!B:C,2,FALSE)</f>
        <v>0.66</v>
      </c>
      <c r="D9" s="4">
        <f>_xlfn.XLOOKUP(A9, '[1]By search item'!B8:B59, '[1]By search item'!D8:D59, "not found")</f>
        <v>0.2</v>
      </c>
    </row>
    <row r="10" spans="1:4" x14ac:dyDescent="0.3">
      <c r="A10" t="s">
        <v>32</v>
      </c>
      <c r="B10" t="s">
        <v>62</v>
      </c>
      <c r="C10" s="4">
        <f>VLOOKUP('sales region lookup'!A10,'[1]By search item'!B:C,2,FALSE)</f>
        <v>0.66</v>
      </c>
      <c r="D10" s="4">
        <f>_xlfn.XLOOKUP(A10, '[1]By search item'!B9:B60, '[1]By search item'!D9:D60, "not found")</f>
        <v>0.2</v>
      </c>
    </row>
    <row r="11" spans="1:4" x14ac:dyDescent="0.3">
      <c r="A11" t="s">
        <v>23</v>
      </c>
      <c r="B11" t="s">
        <v>62</v>
      </c>
      <c r="C11" s="4">
        <f>VLOOKUP('sales region lookup'!A11,'[1]By search item'!B:C,2,FALSE)</f>
        <v>0.69</v>
      </c>
      <c r="D11" s="4">
        <f>_xlfn.XLOOKUP(A11, '[1]By search item'!B10:B61, '[1]By search item'!D10:D61, "not found")</f>
        <v>0.19</v>
      </c>
    </row>
    <row r="13" spans="1:4" x14ac:dyDescent="0.3">
      <c r="A13" s="5" t="s">
        <v>60</v>
      </c>
      <c r="B13" t="s">
        <v>67</v>
      </c>
    </row>
    <row r="15" spans="1:4" x14ac:dyDescent="0.3">
      <c r="A15" s="5" t="s">
        <v>63</v>
      </c>
      <c r="B15" t="s">
        <v>65</v>
      </c>
      <c r="C15" t="s">
        <v>66</v>
      </c>
    </row>
    <row r="16" spans="1:4" x14ac:dyDescent="0.3">
      <c r="A16" s="6" t="s">
        <v>30</v>
      </c>
      <c r="B16" s="1">
        <v>0.67</v>
      </c>
      <c r="C16" s="1">
        <v>0.19</v>
      </c>
    </row>
    <row r="17" spans="1:3" x14ac:dyDescent="0.3">
      <c r="A17" s="6" t="s">
        <v>23</v>
      </c>
      <c r="B17" s="1">
        <v>0.69</v>
      </c>
      <c r="C17" s="1">
        <v>0.19</v>
      </c>
    </row>
    <row r="18" spans="1:3" x14ac:dyDescent="0.3">
      <c r="A18" s="6" t="s">
        <v>24</v>
      </c>
      <c r="B18" s="1">
        <v>0.66</v>
      </c>
      <c r="C18" s="1">
        <v>0.2</v>
      </c>
    </row>
    <row r="19" spans="1:3" x14ac:dyDescent="0.3">
      <c r="A19" s="6" t="s">
        <v>49</v>
      </c>
      <c r="B19" s="1">
        <v>0.75</v>
      </c>
      <c r="C19" s="1">
        <v>0.14000000000000001</v>
      </c>
    </row>
    <row r="20" spans="1:3" x14ac:dyDescent="0.3">
      <c r="A20" s="6" t="s">
        <v>36</v>
      </c>
      <c r="B20" s="1">
        <v>0.69</v>
      </c>
      <c r="C20" s="1">
        <v>0.18</v>
      </c>
    </row>
    <row r="21" spans="1:3" x14ac:dyDescent="0.3">
      <c r="A21" s="6" t="s">
        <v>35</v>
      </c>
      <c r="B21" s="1">
        <v>0.69</v>
      </c>
      <c r="C21" s="1">
        <v>0.19</v>
      </c>
    </row>
    <row r="22" spans="1:3" x14ac:dyDescent="0.3">
      <c r="A22" s="6" t="s">
        <v>34</v>
      </c>
      <c r="B22" s="1">
        <v>0.68</v>
      </c>
      <c r="C22" s="1">
        <v>0.18</v>
      </c>
    </row>
    <row r="23" spans="1:3" x14ac:dyDescent="0.3">
      <c r="A23" s="6" t="s">
        <v>44</v>
      </c>
      <c r="B23" s="1">
        <v>0.75</v>
      </c>
      <c r="C23" s="1">
        <v>0.14000000000000001</v>
      </c>
    </row>
    <row r="24" spans="1:3" x14ac:dyDescent="0.3">
      <c r="A24" s="6" t="s">
        <v>42</v>
      </c>
      <c r="B24" s="1">
        <v>0.67</v>
      </c>
      <c r="C24" s="1">
        <v>0.19</v>
      </c>
    </row>
    <row r="25" spans="1:3" x14ac:dyDescent="0.3">
      <c r="A25" s="6" t="s">
        <v>32</v>
      </c>
      <c r="B25" s="1">
        <v>0.66</v>
      </c>
      <c r="C25" s="1">
        <v>0.2</v>
      </c>
    </row>
    <row r="26" spans="1:3" x14ac:dyDescent="0.3">
      <c r="A26" s="6" t="s">
        <v>64</v>
      </c>
      <c r="B26" s="1">
        <v>6.91</v>
      </c>
      <c r="C26" s="1">
        <v>1.8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item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ocampo</dc:creator>
  <cp:lastModifiedBy>david ocampo</cp:lastModifiedBy>
  <dcterms:created xsi:type="dcterms:W3CDTF">2026-04-13T13:36:29Z</dcterms:created>
  <dcterms:modified xsi:type="dcterms:W3CDTF">2026-04-13T15:57:37Z</dcterms:modified>
</cp:coreProperties>
</file>