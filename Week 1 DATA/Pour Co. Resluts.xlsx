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vidocampo\Desktop\YUU Folder\DATA\Week 1 DATA\"/>
    </mc:Choice>
  </mc:AlternateContent>
  <xr:revisionPtr revIDLastSave="0" documentId="13_ncr:1_{8B3C09A4-6BA7-4FC5-BCBD-D4939783630E}" xr6:coauthVersionLast="47" xr6:coauthVersionMax="47" xr10:uidLastSave="{00000000-0000-0000-0000-000000000000}"/>
  <bookViews>
    <workbookView xWindow="-108" yWindow="-108" windowWidth="23256" windowHeight="13896" xr2:uid="{64C6EEBC-B2BD-47A9-BB2B-55D76120BFAD}"/>
  </bookViews>
  <sheets>
    <sheet name="Sheet1" sheetId="22" r:id="rId1"/>
    <sheet name="Responses" sheetId="17" r:id="rId2"/>
    <sheet name="Summary" sheetId="18" r:id="rId3"/>
    <sheet name="Likes" sheetId="19" r:id="rId4"/>
    <sheet name="Improvements" sheetId="20" r:id="rId5"/>
    <sheet name="Comments" sheetId="21" r:id="rId6"/>
  </sheets>
  <calcPr calcId="191029"/>
  <pivotCaches>
    <pivotCache cacheId="1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7" l="1"/>
  <c r="D21" i="17"/>
  <c r="D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A2" i="21" a="1"/>
  <c r="A2" i="21" s="1"/>
  <c r="B2" i="21" a="1"/>
  <c r="B2" i="21" s="1"/>
  <c r="A2" i="20" a="1"/>
  <c r="A2" i="20" s="1"/>
  <c r="B2" i="20" a="1"/>
  <c r="B2" i="20" s="1"/>
  <c r="A2" i="19" a="1"/>
  <c r="A2" i="19" s="1"/>
  <c r="B2" i="19" a="1"/>
  <c r="B2" i="19" s="1"/>
  <c r="B36" i="18"/>
  <c r="B35" i="18"/>
  <c r="B34" i="18"/>
  <c r="B29" i="18"/>
  <c r="B28" i="18"/>
  <c r="B27" i="18"/>
  <c r="B22" i="18"/>
  <c r="B21" i="18"/>
  <c r="B20" i="18"/>
  <c r="A13" i="18" a="1"/>
  <c r="A13" i="18" s="1"/>
  <c r="B13" i="18" a="1"/>
  <c r="B13" i="18" s="1"/>
  <c r="C13" i="18" a="1"/>
  <c r="C13" i="18" s="1"/>
  <c r="A6" i="18" a="1"/>
  <c r="A6" i="18" s="1"/>
  <c r="B6" i="18" a="1"/>
  <c r="B6" i="18" s="1"/>
  <c r="C6" i="18" a="1"/>
  <c r="C6" i="18" s="1"/>
  <c r="B2" i="18"/>
  <c r="A2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<sst xmlns="http://schemas.openxmlformats.org/spreadsheetml/2006/main" count="295" uniqueCount="120">
  <si>
    <t>Id</t>
  </si>
  <si>
    <t>Start time</t>
  </si>
  <si>
    <t>Completion time</t>
  </si>
  <si>
    <t>Email</t>
  </si>
  <si>
    <t>Name</t>
  </si>
  <si>
    <t>Gender</t>
  </si>
  <si>
    <t>Relationship with Our Organization</t>
  </si>
  <si>
    <t>Overall Satisfaction</t>
  </si>
  <si>
    <t>What did you like most about our service experience?</t>
  </si>
  <si>
    <t>Which areas of our service could be improved?</t>
  </si>
  <si>
    <t>Any additional suggestions for enhancing our service?</t>
  </si>
  <si>
    <t>Overall Satisfaction Rate (%)</t>
  </si>
  <si>
    <t>Response Count</t>
  </si>
  <si>
    <t>Overall Satisfaction by Gender</t>
  </si>
  <si>
    <t>Overall Satisfaction by Relationship</t>
  </si>
  <si>
    <t>Customer Support &amp; Interaction Breakdown</t>
  </si>
  <si>
    <t>Area</t>
  </si>
  <si>
    <t>Satisfaction Rate</t>
  </si>
  <si>
    <t>Responsiveness</t>
  </si>
  <si>
    <t>Resolution Timeliness</t>
  </si>
  <si>
    <t>Customer Valuation</t>
  </si>
  <si>
    <t>Ease of Doing Business Breakdown</t>
  </si>
  <si>
    <t>Navigation</t>
  </si>
  <si>
    <t>Ordering Process</t>
  </si>
  <si>
    <t>Information Accessibility</t>
  </si>
  <si>
    <t>Communication &amp; Transparency Breakdown</t>
  </si>
  <si>
    <t>Effective Communication</t>
  </si>
  <si>
    <t>Timely Updates</t>
  </si>
  <si>
    <t>Clarity of Information</t>
  </si>
  <si>
    <t>What is You're Name?</t>
  </si>
  <si>
    <t xml:space="preserve">How was the Customer Service?.How well did our staff address your needs or questions during your visit? </t>
  </si>
  <si>
    <t>What did you like most about you're experience?</t>
  </si>
  <si>
    <t xml:space="preserve">How was the Customer Service?.How satisfied were you with how quickly and efficiently our staff served you? </t>
  </si>
  <si>
    <t>Is This You're First Time Here or Returning Customer?</t>
  </si>
  <si>
    <t xml:space="preserve">How was our Atmosphere?.How appealing did you find the café’s interior design, lighting, and décor? </t>
  </si>
  <si>
    <t xml:space="preserve">How was our Atmosphere?.How relaxing and enjoyable was the café environment during your visit (music, noise level, seating)? </t>
  </si>
  <si>
    <t xml:space="preserve">How was our Atmosphere?.How would you rate the overall atmosphere and comfort of our café? </t>
  </si>
  <si>
    <t xml:space="preserve">How was the Customer Service?.How would you rate the friendliness and professionalism of our staff? </t>
  </si>
  <si>
    <t>Any additional suggestions, comments, or concerns?</t>
  </si>
  <si>
    <t>Which areas could be improved?</t>
  </si>
  <si>
    <t>anonymous</t>
  </si>
  <si>
    <t>kiki</t>
  </si>
  <si>
    <t>Returning customer</t>
  </si>
  <si>
    <t>Excellent</t>
  </si>
  <si>
    <t>Very Easy</t>
  </si>
  <si>
    <t>The cozy cafe vibe and the lighting was nice</t>
  </si>
  <si>
    <t>Maybe more food options</t>
  </si>
  <si>
    <t>Maybe add a loyalty program</t>
  </si>
  <si>
    <t>Cagla Celik</t>
  </si>
  <si>
    <t>Good</t>
  </si>
  <si>
    <t>Easy</t>
  </si>
  <si>
    <t>Neutral</t>
  </si>
  <si>
    <t>Friendly staff</t>
  </si>
  <si>
    <t>More pastry options.</t>
  </si>
  <si>
    <t>n/a</t>
  </si>
  <si>
    <t>Julissa</t>
  </si>
  <si>
    <t>Difficult</t>
  </si>
  <si>
    <t>the coffee</t>
  </si>
  <si>
    <t>Better music</t>
  </si>
  <si>
    <t>N/a</t>
  </si>
  <si>
    <t>Shay</t>
  </si>
  <si>
    <t>First Time</t>
  </si>
  <si>
    <t xml:space="preserve">The drink was very well crafted </t>
  </si>
  <si>
    <t xml:space="preserve">Maybe add more items to the menu for variety </t>
  </si>
  <si>
    <t>jieun</t>
  </si>
  <si>
    <t>cleanliness</t>
  </si>
  <si>
    <t>price</t>
  </si>
  <si>
    <t>jane doe</t>
  </si>
  <si>
    <t>Poor</t>
  </si>
  <si>
    <t>the food</t>
  </si>
  <si>
    <t xml:space="preserve">customer service always busy </t>
  </si>
  <si>
    <t xml:space="preserve">servers can be more attentive </t>
  </si>
  <si>
    <t>kidus</t>
  </si>
  <si>
    <t>the astetic view and thee arts on the wall</t>
  </si>
  <si>
    <t>all good keep it up</t>
  </si>
  <si>
    <t>Mina</t>
  </si>
  <si>
    <t xml:space="preserve">Everything </t>
  </si>
  <si>
    <t xml:space="preserve">Nothing </t>
  </si>
  <si>
    <t>Eyerusalem Debero</t>
  </si>
  <si>
    <t>The cafe has a nice and relaxing atmosphere, and the coffee was good.</t>
  </si>
  <si>
    <t>Faster service and more seating during busy hours.</t>
  </si>
  <si>
    <t>Overall, it was a good experience. The café is comfortable and a nice place to relax or study.</t>
  </si>
  <si>
    <t>Onur Karaer</t>
  </si>
  <si>
    <t>Music</t>
  </si>
  <si>
    <t>Table and chair comfort</t>
  </si>
  <si>
    <t>More food options would be great</t>
  </si>
  <si>
    <t>Ariel Rollins</t>
  </si>
  <si>
    <t>The vibes and relaxation I got from being in the establishment</t>
  </si>
  <si>
    <t>More ambient lights!</t>
  </si>
  <si>
    <t>N/A</t>
  </si>
  <si>
    <t>Goddy</t>
  </si>
  <si>
    <t>Customer service</t>
  </si>
  <si>
    <t>Quality of food</t>
  </si>
  <si>
    <t>No</t>
  </si>
  <si>
    <t>mlem</t>
  </si>
  <si>
    <t>not a big fan of coffee, but enjoyed the music</t>
  </si>
  <si>
    <t>more non-coffee drinks</t>
  </si>
  <si>
    <t>change to "your (possessive) than "you're (conjunction, you + are)"</t>
  </si>
  <si>
    <t>Sultan</t>
  </si>
  <si>
    <t>The quality of coffee</t>
  </si>
  <si>
    <t>Service can be more friendly</t>
  </si>
  <si>
    <t>In my last visit, barista was PISSED at my customizations. But it's generally nice staff other than that.</t>
  </si>
  <si>
    <t>Maritza Ruiz</t>
  </si>
  <si>
    <t>Staff friendliness</t>
  </si>
  <si>
    <t>Jessica</t>
  </si>
  <si>
    <t>More dairy free drinks please</t>
  </si>
  <si>
    <t>wait time</t>
  </si>
  <si>
    <t xml:space="preserve">Rodas </t>
  </si>
  <si>
    <t xml:space="preserve">overall atmosphere </t>
  </si>
  <si>
    <t xml:space="preserve">wait time </t>
  </si>
  <si>
    <t>Bob</t>
  </si>
  <si>
    <t>I enjoyed the hospitality</t>
  </si>
  <si>
    <t>The shorter a line the better.</t>
  </si>
  <si>
    <t>Shaquan Bowens</t>
  </si>
  <si>
    <t>I like the atmosphere of theme of the cafe</t>
  </si>
  <si>
    <t>The staff could be a little more helpful. Give more details on the menu items</t>
  </si>
  <si>
    <t>Time to Complete</t>
  </si>
  <si>
    <t>Row Labels</t>
  </si>
  <si>
    <t>Grand Total</t>
  </si>
  <si>
    <t>Sum of Overall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</si>
</sst>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dd/yyyy\ hh:mm:ss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B9CD3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D0E8D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FF8F00"/>
        <bgColor indexed="64"/>
      </patternFill>
    </fill>
    <fill>
      <patternFill patternType="solid">
        <fgColor rgb="FFFFE0B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4" fillId="6" borderId="0" xfId="0" applyFont="1" applyFill="1"/>
    <xf numFmtId="9" fontId="4" fillId="6" borderId="0" xfId="0" applyNumberFormat="1" applyFont="1" applyFill="1"/>
    <xf numFmtId="9" fontId="0" fillId="0" borderId="0" xfId="0" applyNumberFormat="1"/>
    <xf numFmtId="0" fontId="1" fillId="8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5" fillId="2" borderId="0" xfId="0" applyFont="1" applyFill="1"/>
    <xf numFmtId="49" fontId="0" fillId="0" borderId="0" xfId="0" applyNumberFormat="1"/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mm/dd/yyyy\ hh:mm:ss"/>
    </dxf>
    <dxf>
      <numFmt numFmtId="167" formatCode="mm/dd/yyyy\ hh:mm:ss"/>
    </dxf>
    <dxf>
      <numFmt numFmtId="167" formatCode="mm/dd/yyyy\ hh:mm:ss"/>
    </dxf>
    <dxf>
      <numFmt numFmtId="167" formatCode="mm/dd/yyyy\ hh:mm:ss"/>
    </dxf>
    <dxf>
      <numFmt numFmtId="167" formatCode="mm/dd/yyyy\ hh:mm:ss"/>
    </dxf>
    <dxf>
      <numFmt numFmtId="167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[Pour Co. Resluts.xlsx]Sheet1!PivotTable4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Sheet1!$A$2:$A$21</c:f>
              <c:strCache>
                <c:ptCount val="19"/>
                <c:pt idx="0">
                  <c:v>Ariel Rollins</c:v>
                </c:pt>
                <c:pt idx="1">
                  <c:v>Bob</c:v>
                </c:pt>
                <c:pt idx="2">
                  <c:v>Cagla Celik</c:v>
                </c:pt>
                <c:pt idx="3">
                  <c:v>Eyerusalem Debero</c:v>
                </c:pt>
                <c:pt idx="4">
                  <c:v>Goddy</c:v>
                </c:pt>
                <c:pt idx="5">
                  <c:v>jane doe</c:v>
                </c:pt>
                <c:pt idx="6">
                  <c:v>Jessica</c:v>
                </c:pt>
                <c:pt idx="7">
                  <c:v>jieun</c:v>
                </c:pt>
                <c:pt idx="8">
                  <c:v>Julissa</c:v>
                </c:pt>
                <c:pt idx="9">
                  <c:v>kidus</c:v>
                </c:pt>
                <c:pt idx="10">
                  <c:v>kiki</c:v>
                </c:pt>
                <c:pt idx="11">
                  <c:v>Maritza Ruiz</c:v>
                </c:pt>
                <c:pt idx="12">
                  <c:v>Mina</c:v>
                </c:pt>
                <c:pt idx="13">
                  <c:v>mlem</c:v>
                </c:pt>
                <c:pt idx="14">
                  <c:v>Onur Karaer</c:v>
                </c:pt>
                <c:pt idx="15">
                  <c:v>Rodas </c:v>
                </c:pt>
                <c:pt idx="16">
                  <c:v>Shaquan Bowens</c:v>
                </c:pt>
                <c:pt idx="17">
                  <c:v>Shay</c:v>
                </c:pt>
                <c:pt idx="18">
                  <c:v>Sultan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91-431F-83D7-A3356A16A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4968656"/>
        <c:axId val="1194968176"/>
      </c:barChart>
      <c:catAx>
        <c:axId val="119496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68176"/>
        <c:crosses val="autoZero"/>
        <c:auto val="1"/>
        <c:lblAlgn val="ctr"/>
        <c:lblOffset val="100"/>
        <c:noMultiLvlLbl val="0"/>
      </c:catAx>
      <c:valAx>
        <c:axId val="119496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6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EE742-C804-1CBA-AE95-7F5F24C0B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1910443</xdr:colOff>
      <xdr:row>0</xdr:row>
      <xdr:rowOff>127000</xdr:rowOff>
    </xdr:from>
    <xdr:to>
      <xdr:col>9</xdr:col>
      <xdr:colOff>551543</xdr:colOff>
      <xdr:row>14</xdr:row>
      <xdr:rowOff>47171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EE1387-642F-C5FD-0189-EFF8F82F9969}"/>
            </a:ext>
          </a:extLst>
        </xdr:cNvPr>
        <xdr:cNvSpPr txBox="1"/>
      </xdr:nvSpPr>
      <xdr:spPr>
        <a:xfrm>
          <a:off x="11430000" y="127000"/>
          <a:ext cx="5080000" cy="5080000"/>
        </a:xfrm>
        <a:prstGeom prst="rect">
          <a:avLst/>
        </a:prstGeom>
        <a:solidFill>
          <a:srgbClr val="D3D3D3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📌 How to Navigate This Summary Sheet: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Summary Overview: Displays the total number of responses and key metrics derived from your data.
- Breakdown Tables: Detailed insights based on the following areas: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Customer Support &amp; Interaction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Ease of Doing Business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Communication &amp; Transparency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Pivot Tables: Dynamic data analysis for the following categories: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Overall Satisfaction by Gender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Overall Satisfaction by Relationship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⭐ Tips: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Click on the data cells to view the formulas and related questions. You can customize these formulas to map to other questions as needed.
 - Satisfaction rate = Percentage of responses that selected 'Very Satisfied' or 'Satisfied'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campo" refreshedDate="46125.477880092592" createdVersion="8" refreshedVersion="8" minRefreshableVersion="3" recordCount="19" xr:uid="{503756A9-6757-4D32-B996-421B4E9AC3E7}">
  <cacheSource type="worksheet">
    <worksheetSource name="OfficeForms.Table"/>
  </cacheSource>
  <cacheFields count="22">
    <cacheField name="Id" numFmtId="0">
      <sharedItems containsSemiMixedTypes="0" containsString="0" containsNumber="1" containsInteger="1" minValue="1" maxValue="19"/>
    </cacheField>
    <cacheField name="Start time" numFmtId="167">
      <sharedItems containsSemiMixedTypes="0" containsNonDate="0" containsDate="1" containsString="0" minDate="2026-04-09T13:29:20" maxDate="2026-04-10T14:44:19" count="19">
        <d v="2026-04-09T13:29:20"/>
        <d v="2026-04-09T13:29:30"/>
        <d v="2026-04-09T13:31:48"/>
        <d v="2026-04-09T13:35:06"/>
        <d v="2026-04-09T13:37:35"/>
        <d v="2026-04-09T13:34:32"/>
        <d v="2026-04-09T13:42:02"/>
        <d v="2026-04-09T13:45:52"/>
        <d v="2026-04-09T13:48:10"/>
        <d v="2026-04-09T13:49:48"/>
        <d v="2026-04-09T13:49:14"/>
        <d v="2026-04-09T13:58:25"/>
        <d v="2026-04-09T14:56:14"/>
        <d v="2026-04-09T16:28:46"/>
        <d v="2026-04-09T13:39:37"/>
        <d v="2026-04-09T18:01:47"/>
        <d v="2026-04-10T10:12:17"/>
        <d v="2026-04-10T13:05:12"/>
        <d v="2026-04-10T14:44:19"/>
      </sharedItems>
      <fieldGroup par="21"/>
    </cacheField>
    <cacheField name="Completion time" numFmtId="167">
      <sharedItems containsSemiMixedTypes="0" containsNonDate="0" containsDate="1" containsString="0" minDate="2026-04-09T13:31:05" maxDate="2026-04-10T14:47:36"/>
    </cacheField>
    <cacheField name="Time to Complete" numFmtId="167">
      <sharedItems containsSemiMixedTypes="0" containsNonDate="0" containsDate="1" containsString="0" minDate="1899-12-30T00:00:02" maxDate="1899-12-30T03:27:11"/>
    </cacheField>
    <cacheField name="Email" numFmtId="49">
      <sharedItems/>
    </cacheField>
    <cacheField name="Name" numFmtId="49">
      <sharedItems containsNonDate="0" containsString="0" containsBlank="1" count="1">
        <m/>
      </sharedItems>
    </cacheField>
    <cacheField name="What is You're Name?" numFmtId="0">
      <sharedItems count="19">
        <s v="kiki"/>
        <s v="Cagla Celik"/>
        <s v="Julissa"/>
        <s v="Shay"/>
        <s v="jieun"/>
        <s v="jane doe"/>
        <s v="kidus"/>
        <s v="Mina"/>
        <s v="Eyerusalem Debero"/>
        <s v="Onur Karaer"/>
        <s v="Ariel Rollins"/>
        <s v="Goddy"/>
        <s v="mlem"/>
        <s v="Sultan"/>
        <s v="Maritza Ruiz"/>
        <s v="Jessica"/>
        <s v="Rodas "/>
        <s v="Bob"/>
        <s v="Shaquan Bowens"/>
      </sharedItems>
    </cacheField>
    <cacheField name="Is This You're First Time Here or Returning Customer?" numFmtId="49">
      <sharedItems/>
    </cacheField>
    <cacheField name="Overall Satisfaction" numFmtId="0">
      <sharedItems containsSemiMixedTypes="0" containsString="0" containsNumber="1" containsInteger="1" minValue="2" maxValue="5" count="4">
        <n v="5"/>
        <n v="4"/>
        <n v="3"/>
        <n v="2"/>
      </sharedItems>
    </cacheField>
    <cacheField name="How was the Customer Service?.How would you rate the friendliness and professionalism of our staff? " numFmtId="49">
      <sharedItems/>
    </cacheField>
    <cacheField name="How was the Customer Service?.How satisfied were you with how quickly and efficiently our staff served you? " numFmtId="49">
      <sharedItems/>
    </cacheField>
    <cacheField name="How was the Customer Service?.How well did our staff address your needs or questions during your visit? " numFmtId="49">
      <sharedItems/>
    </cacheField>
    <cacheField name="How was our Atmosphere?.How would you rate the overall atmosphere and comfort of our café? " numFmtId="49">
      <sharedItems/>
    </cacheField>
    <cacheField name="How was our Atmosphere?.How appealing did you find the café’s interior design, lighting, and décor? " numFmtId="49">
      <sharedItems/>
    </cacheField>
    <cacheField name="How was our Atmosphere?.How relaxing and enjoyable was the café environment during your visit (music, noise level, seating)? " numFmtId="49">
      <sharedItems/>
    </cacheField>
    <cacheField name="What did you like most about you're experience?" numFmtId="49">
      <sharedItems/>
    </cacheField>
    <cacheField name="Which areas could be improved?" numFmtId="49">
      <sharedItems/>
    </cacheField>
    <cacheField name="Any additional suggestions, comments, or concerns?" numFmtId="49">
      <sharedItems containsBlank="1"/>
    </cacheField>
    <cacheField name="Seconds (Start time)" numFmtId="0" databaseField="0">
      <fieldGroup base="1">
        <rangePr groupBy="seconds" startDate="2026-04-09T13:29:20" endDate="2026-04-10T14:44:19"/>
        <groupItems count="62">
          <s v="&lt;4/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0/2026"/>
        </groupItems>
      </fieldGroup>
    </cacheField>
    <cacheField name="Minutes (Start time)" numFmtId="0" databaseField="0">
      <fieldGroup base="1">
        <rangePr groupBy="minutes" startDate="2026-04-09T13:29:20" endDate="2026-04-10T14:44:19"/>
        <groupItems count="62">
          <s v="&lt;4/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0/2026"/>
        </groupItems>
      </fieldGroup>
    </cacheField>
    <cacheField name="Hours (Start time)" numFmtId="0" databaseField="0">
      <fieldGroup base="1">
        <rangePr groupBy="hours" startDate="2026-04-09T13:29:20" endDate="2026-04-10T14:44:19"/>
        <groupItems count="26">
          <s v="&lt;4/9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4/10/2026"/>
        </groupItems>
      </fieldGroup>
    </cacheField>
    <cacheField name="Days (Start time)" numFmtId="0" databaseField="0">
      <fieldGroup base="1">
        <rangePr groupBy="days" startDate="2026-04-09T13:29:20" endDate="2026-04-10T14:44:19"/>
        <groupItems count="368">
          <s v="&lt;4/9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x v="0"/>
    <d v="2026-04-09T13:31:05"/>
    <d v="1899-12-30T00:01:45"/>
    <s v="anonymous"/>
    <x v="0"/>
    <x v="0"/>
    <s v="Returning customer"/>
    <x v="0"/>
    <s v="Excellent"/>
    <s v="Excellent"/>
    <s v="Excellent"/>
    <s v="Very Easy"/>
    <s v="Very Easy"/>
    <s v="Very Easy"/>
    <s v="The cozy cafe vibe and the lighting was nice"/>
    <s v="Maybe more food options"/>
    <s v="Maybe add a loyalty program"/>
  </r>
  <r>
    <n v="2"/>
    <x v="1"/>
    <d v="2026-04-09T13:31:07"/>
    <d v="1899-12-30T00:01:37"/>
    <s v="anonymous"/>
    <x v="0"/>
    <x v="1"/>
    <s v="Returning customer"/>
    <x v="1"/>
    <s v="Good"/>
    <s v="Excellent"/>
    <s v="Excellent"/>
    <s v="Easy"/>
    <s v="Neutral"/>
    <s v="Very Easy"/>
    <s v="Friendly staff"/>
    <s v="More pastry options."/>
    <s v="n/a"/>
  </r>
  <r>
    <n v="3"/>
    <x v="2"/>
    <d v="2026-04-09T13:33:07"/>
    <d v="1899-12-30T00:01:19"/>
    <s v="anonymous"/>
    <x v="0"/>
    <x v="2"/>
    <s v="Returning customer"/>
    <x v="1"/>
    <s v="Good"/>
    <s v="Good"/>
    <s v="Good"/>
    <s v="Easy"/>
    <s v="Neutral"/>
    <s v="Difficult"/>
    <s v="the coffee"/>
    <s v="Better music"/>
    <s v="n/a"/>
  </r>
  <r>
    <n v="4"/>
    <x v="3"/>
    <d v="2026-04-09T13:37:16"/>
    <d v="1899-12-30T00:02:10"/>
    <s v="anonymous"/>
    <x v="0"/>
    <x v="3"/>
    <s v="First Time"/>
    <x v="1"/>
    <s v="Good"/>
    <s v="Good"/>
    <s v="Excellent"/>
    <s v="Easy"/>
    <s v="Easy"/>
    <s v="Easy"/>
    <s v="The drink was very well crafted "/>
    <s v="Maybe add more items to the menu for variety "/>
    <m/>
  </r>
  <r>
    <n v="5"/>
    <x v="4"/>
    <d v="2026-04-09T13:38:04"/>
    <d v="1899-12-30T00:00:29"/>
    <s v="anonymous"/>
    <x v="0"/>
    <x v="4"/>
    <s v="First Time"/>
    <x v="1"/>
    <s v="Excellent"/>
    <s v="Good"/>
    <s v="Excellent"/>
    <s v="Easy"/>
    <s v="Very Easy"/>
    <s v="Easy"/>
    <s v="cleanliness"/>
    <s v="price"/>
    <m/>
  </r>
  <r>
    <n v="6"/>
    <x v="5"/>
    <d v="2026-04-09T13:38:13"/>
    <d v="1899-12-30T00:03:41"/>
    <s v="anonymous"/>
    <x v="0"/>
    <x v="5"/>
    <s v="Returning customer"/>
    <x v="2"/>
    <s v="Good"/>
    <s v="Poor"/>
    <s v="Poor"/>
    <s v="Neutral"/>
    <s v="Easy"/>
    <s v="Difficult"/>
    <s v="the food"/>
    <s v="customer service always busy "/>
    <s v="servers can be more attentive "/>
  </r>
  <r>
    <n v="7"/>
    <x v="6"/>
    <d v="2026-04-09T13:43:44"/>
    <d v="1899-12-30T00:01:42"/>
    <s v="anonymous"/>
    <x v="0"/>
    <x v="6"/>
    <s v="First Time"/>
    <x v="0"/>
    <s v="Good"/>
    <s v="Excellent"/>
    <s v="Good"/>
    <s v="Very Easy"/>
    <s v="Easy"/>
    <s v="Very Easy"/>
    <s v="the astetic view and thee arts on the wall"/>
    <s v="all good keep it up"/>
    <m/>
  </r>
  <r>
    <n v="8"/>
    <x v="7"/>
    <d v="2026-04-09T13:46:35"/>
    <d v="1899-12-30T00:00:43"/>
    <s v="anonymous"/>
    <x v="0"/>
    <x v="7"/>
    <s v="First Time"/>
    <x v="0"/>
    <s v="Excellent"/>
    <s v="Excellent"/>
    <s v="Excellent"/>
    <s v="Very Easy"/>
    <s v="Very Easy"/>
    <s v="Very Easy"/>
    <s v="Everything "/>
    <s v="Nothing "/>
    <m/>
  </r>
  <r>
    <n v="9"/>
    <x v="8"/>
    <d v="2026-04-09T13:50:21"/>
    <d v="1899-12-30T00:02:11"/>
    <s v="anonymous"/>
    <x v="0"/>
    <x v="8"/>
    <s v="First Time"/>
    <x v="0"/>
    <s v="Good"/>
    <s v="Good"/>
    <s v="Good"/>
    <s v="Easy"/>
    <s v="Easy"/>
    <s v="Easy"/>
    <s v="The cafe has a nice and relaxing atmosphere, and the coffee was good."/>
    <s v="Faster service and more seating during busy hours."/>
    <s v="Overall, it was a good experience. The café is comfortable and a nice place to relax or study."/>
  </r>
  <r>
    <n v="10"/>
    <x v="9"/>
    <d v="2026-04-09T13:50:46"/>
    <d v="1899-12-30T00:00:58"/>
    <s v="anonymous"/>
    <x v="0"/>
    <x v="9"/>
    <s v="Returning customer"/>
    <x v="1"/>
    <s v="Good"/>
    <s v="Excellent"/>
    <s v="Excellent"/>
    <s v="Easy"/>
    <s v="Very Easy"/>
    <s v="Neutral"/>
    <s v="Music"/>
    <s v="Table and chair comfort"/>
    <s v="More food options would be great"/>
  </r>
  <r>
    <n v="11"/>
    <x v="10"/>
    <d v="2026-04-09T13:52:22"/>
    <d v="1899-12-30T00:03:08"/>
    <s v="anonymous"/>
    <x v="0"/>
    <x v="10"/>
    <s v="First Time"/>
    <x v="1"/>
    <s v="Excellent"/>
    <s v="Good"/>
    <s v="Good"/>
    <s v="Easy"/>
    <s v="Neutral"/>
    <s v="Very Easy"/>
    <s v="The vibes and relaxation I got from being in the establishment"/>
    <s v="More ambient lights!"/>
    <s v="n/a"/>
  </r>
  <r>
    <n v="12"/>
    <x v="11"/>
    <d v="2026-04-09T13:59:25"/>
    <d v="1899-12-30T00:01:00"/>
    <s v="anonymous"/>
    <x v="0"/>
    <x v="11"/>
    <s v="First Time"/>
    <x v="0"/>
    <s v="Good"/>
    <s v="Good"/>
    <s v="Excellent"/>
    <s v="Easy"/>
    <s v="Very Easy"/>
    <s v="Easy"/>
    <s v="Customer service"/>
    <s v="Quality of food"/>
    <s v="No"/>
  </r>
  <r>
    <n v="13"/>
    <x v="12"/>
    <d v="2026-04-09T14:56:16"/>
    <d v="1899-12-30T00:00:02"/>
    <s v="anonymous"/>
    <x v="0"/>
    <x v="12"/>
    <s v="Returning customer"/>
    <x v="1"/>
    <s v="Good"/>
    <s v="Excellent"/>
    <s v="Neutral"/>
    <s v="Easy"/>
    <s v="Easy"/>
    <s v="Easy"/>
    <s v="not a big fan of coffee, but enjoyed the music"/>
    <s v="more non-coffee drinks"/>
    <s v="change to &quot;your (possessive) than &quot;you're (conjunction, you + are)&quot;"/>
  </r>
  <r>
    <n v="14"/>
    <x v="13"/>
    <d v="2026-04-09T16:42:25"/>
    <d v="1899-12-30T00:13:39"/>
    <s v="anonymous"/>
    <x v="0"/>
    <x v="13"/>
    <s v="Returning customer"/>
    <x v="0"/>
    <s v="Good"/>
    <s v="Good"/>
    <s v="Good"/>
    <s v="Easy"/>
    <s v="Easy"/>
    <s v="Easy"/>
    <s v="The quality of coffee"/>
    <s v="Service can be more friendly"/>
    <s v="In my last visit, barista was PISSED at my customizations. But it's generally nice staff other than that."/>
  </r>
  <r>
    <n v="15"/>
    <x v="14"/>
    <d v="2026-04-09T17:06:48"/>
    <d v="1899-12-30T03:27:11"/>
    <s v="anonymous"/>
    <x v="0"/>
    <x v="14"/>
    <s v="First Time"/>
    <x v="0"/>
    <s v="Good"/>
    <s v="Good"/>
    <s v="Good"/>
    <s v="Easy"/>
    <s v="Easy"/>
    <s v="Easy"/>
    <s v="Staff friendliness"/>
    <s v="N/A"/>
    <s v="n/a"/>
  </r>
  <r>
    <n v="16"/>
    <x v="15"/>
    <d v="2026-04-09T18:02:29"/>
    <d v="1899-12-30T00:00:42"/>
    <s v="anonymous"/>
    <x v="0"/>
    <x v="15"/>
    <s v="First Time"/>
    <x v="3"/>
    <s v="Poor"/>
    <s v="Good"/>
    <s v="Neutral"/>
    <s v="Difficult"/>
    <s v="Easy"/>
    <s v="Easy"/>
    <s v="More dairy free drinks please"/>
    <s v="wait time"/>
    <s v="n/a"/>
  </r>
  <r>
    <n v="17"/>
    <x v="16"/>
    <d v="2026-04-10T10:13:14"/>
    <d v="1899-12-30T00:00:57"/>
    <s v="anonymous"/>
    <x v="0"/>
    <x v="16"/>
    <s v="First Time"/>
    <x v="0"/>
    <s v="Excellent"/>
    <s v="Good"/>
    <s v="Excellent"/>
    <s v="Very Easy"/>
    <s v="Very Easy"/>
    <s v="Easy"/>
    <s v="overall atmosphere "/>
    <s v="wait time "/>
    <m/>
  </r>
  <r>
    <n v="18"/>
    <x v="17"/>
    <d v="2026-04-10T13:06:08"/>
    <d v="1899-12-30T00:00:56"/>
    <s v="anonymous"/>
    <x v="0"/>
    <x v="17"/>
    <s v="Returning customer"/>
    <x v="0"/>
    <s v="Good"/>
    <s v="Excellent"/>
    <s v="Good"/>
    <s v="Easy"/>
    <s v="Neutral"/>
    <s v="Easy"/>
    <s v="I enjoyed the hospitality"/>
    <s v="The shorter a line the better."/>
    <m/>
  </r>
  <r>
    <n v="19"/>
    <x v="18"/>
    <d v="2026-04-10T14:47:36"/>
    <d v="1899-12-30T00:03:17"/>
    <s v="anonymous"/>
    <x v="0"/>
    <x v="18"/>
    <s v="First Time"/>
    <x v="1"/>
    <s v="Neutral"/>
    <s v="Good"/>
    <s v="Neutral"/>
    <s v="Easy"/>
    <s v="Very Easy"/>
    <s v="Easy"/>
    <s v="I like the atmosphere of theme of the cafe"/>
    <s v="The staff could be a little more helpful. Give more details on the menu item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7A9A9-E33D-4713-9E88-A7A90A6CBAF1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21" firstHeaderRow="1" firstDataRow="1" firstDataCol="1"/>
  <pivotFields count="22">
    <pivotField showAll="0"/>
    <pivotField numFmtId="167" showAll="0">
      <items count="20">
        <item x="0"/>
        <item x="1"/>
        <item x="2"/>
        <item x="5"/>
        <item x="3"/>
        <item x="4"/>
        <item x="14"/>
        <item x="6"/>
        <item x="7"/>
        <item x="8"/>
        <item x="10"/>
        <item x="9"/>
        <item x="11"/>
        <item x="12"/>
        <item x="13"/>
        <item x="15"/>
        <item x="16"/>
        <item x="17"/>
        <item x="18"/>
        <item t="default"/>
      </items>
    </pivotField>
    <pivotField numFmtId="167" showAll="0"/>
    <pivotField numFmtId="167" showAll="0"/>
    <pivotField showAll="0"/>
    <pivotField showAll="0">
      <items count="2">
        <item x="0"/>
        <item t="default"/>
      </items>
    </pivotField>
    <pivotField axis="axisRow" showAll="0">
      <items count="20">
        <item x="10"/>
        <item x="17"/>
        <item x="1"/>
        <item x="8"/>
        <item x="11"/>
        <item x="5"/>
        <item x="15"/>
        <item x="4"/>
        <item x="2"/>
        <item x="6"/>
        <item x="0"/>
        <item x="14"/>
        <item x="7"/>
        <item x="12"/>
        <item x="9"/>
        <item x="16"/>
        <item x="18"/>
        <item x="3"/>
        <item x="13"/>
        <item t="default"/>
      </items>
    </pivotField>
    <pivotField showAll="0"/>
    <pivotField dataField="1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Overall Satisfaction" fld="8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R21" totalsRowCount="1">
  <autoFilter ref="A1:R20" xr:uid="{00000000-0009-0000-0100-000001000000}"/>
  <tableColumns count="18">
    <tableColumn id="1" xr3:uid="{00000000-0010-0000-0000-000001000000}" name="Id" dataDxfId="35" totalsRowDxfId="3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33" totalsRowDxfId="3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31" totalsRowDxfId="30">
      <extLst>
        <ext xmlns:xlmsforms="http://schemas.microsoft.com/office/spreadsheetml/2023/msForms" uri="{FCC71383-01E1-4257-9335-427F07BE8D7F}">
          <xlmsforms:question id="submitDate"/>
        </ext>
      </extLst>
    </tableColumn>
    <tableColumn id="23" xr3:uid="{409A0A81-46D3-46E7-A4E2-67D6FF23CAA3}" name="Time to Complete" totalsRowFunction="custom" dataDxfId="29" totalsRowDxfId="28">
      <calculatedColumnFormula>C2-B2</calculatedColumnFormula>
      <totalsRowFormula>AVERAGE(D2:D20)</totalsRowFormula>
    </tableColumn>
    <tableColumn id="4" xr3:uid="{00000000-0010-0000-0000-000004000000}" name="Email" dataDxfId="27" totalsRowDxfId="2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5" totalsRowDxfId="2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22" xr3:uid="{40CACE32-2D89-45FE-95A1-D6F131F7C6F0}" name="What is You're Name?" dataDxfId="23" totalsRowDxfId="22">
      <extLst>
        <ext xmlns:xlmsforms="http://schemas.microsoft.com/office/spreadsheetml/2023/msForms" uri="{FCC71383-01E1-4257-9335-427F07BE8D7F}">
          <xlmsforms:question id="r164d92167a014a51b25c0850a3d81caf"/>
        </ext>
      </extLst>
    </tableColumn>
    <tableColumn id="8" xr3:uid="{00000000-0010-0000-0000-000008000000}" name="Is This You're First Time Here or Returning Customer?" dataDxfId="21" totalsRowDxfId="20">
      <extLst>
        <ext xmlns:xlmsforms="http://schemas.microsoft.com/office/spreadsheetml/2023/msForms" uri="{FCC71383-01E1-4257-9335-427F07BE8D7F}">
          <xlmsforms:question id="r71f38c569fa103b492a5c1c54acfa9d2"/>
        </ext>
      </extLst>
    </tableColumn>
    <tableColumn id="9" xr3:uid="{00000000-0010-0000-0000-000009000000}" name="Overall Satisfaction" totalsRowFunction="custom" dataDxfId="19" totalsRowDxfId="18">
      <totalsRowFormula>AVERAGE(OfficeForms.Table[Overall Satisfaction])</totalsRowFormula>
      <extLst>
        <ext xmlns:xlmsforms="http://schemas.microsoft.com/office/spreadsheetml/2023/msForms" uri="{FCC71383-01E1-4257-9335-427F07BE8D7F}">
          <xlmsforms:question id="r05fa99674c8adf25bc6d88e49ebd682a"/>
        </ext>
      </extLst>
    </tableColumn>
    <tableColumn id="10" xr3:uid="{00000000-0010-0000-0000-00000A000000}" name="How was the Customer Service?.How would you rate the friendliness and professionalism of our staff? " dataDxfId="17" totalsRowDxfId="16">
      <extLst>
        <ext xmlns:xlmsforms="http://schemas.microsoft.com/office/spreadsheetml/2023/msForms" uri="{FCC71383-01E1-4257-9335-427F07BE8D7F}">
          <xlmsforms:question id="rc4ba68a0c7b0b973ba9886a220bf2ce7"/>
        </ext>
      </extLst>
    </tableColumn>
    <tableColumn id="11" xr3:uid="{00000000-0010-0000-0000-00000B000000}" name="How was the Customer Service?.How satisfied were you with how quickly and efficiently our staff served you? " dataDxfId="15" totalsRowDxfId="14">
      <extLst>
        <ext xmlns:xlmsforms="http://schemas.microsoft.com/office/spreadsheetml/2023/msForms" uri="{FCC71383-01E1-4257-9335-427F07BE8D7F}">
          <xlmsforms:question id="r4973e64df7dadb7fb93967639c7fc83b"/>
        </ext>
      </extLst>
    </tableColumn>
    <tableColumn id="12" xr3:uid="{00000000-0010-0000-0000-00000C000000}" name="How was the Customer Service?.How well did our staff address your needs or questions during your visit? " dataDxfId="13" totalsRowDxfId="12">
      <extLst>
        <ext xmlns:xlmsforms="http://schemas.microsoft.com/office/spreadsheetml/2023/msForms" uri="{FCC71383-01E1-4257-9335-427F07BE8D7F}">
          <xlmsforms:question id="r044b12442a46ef2e822c76a8ade527ef"/>
        </ext>
      </extLst>
    </tableColumn>
    <tableColumn id="13" xr3:uid="{00000000-0010-0000-0000-00000D000000}" name="How was our Atmosphere?.How would you rate the overall atmosphere and comfort of our café? " dataDxfId="11" totalsRowDxfId="10">
      <extLst>
        <ext xmlns:xlmsforms="http://schemas.microsoft.com/office/spreadsheetml/2023/msForms" uri="{FCC71383-01E1-4257-9335-427F07BE8D7F}">
          <xlmsforms:question id="rbf7bae9a69ebd6dfbb1f20a065616ec4"/>
        </ext>
      </extLst>
    </tableColumn>
    <tableColumn id="14" xr3:uid="{00000000-0010-0000-0000-00000E000000}" name="How was our Atmosphere?.How appealing did you find the café’s interior design, lighting, and décor? " dataDxfId="9" totalsRowDxfId="8">
      <extLst>
        <ext xmlns:xlmsforms="http://schemas.microsoft.com/office/spreadsheetml/2023/msForms" uri="{FCC71383-01E1-4257-9335-427F07BE8D7F}">
          <xlmsforms:question id="r92f984be9f0118e18ca33c840893efda"/>
        </ext>
      </extLst>
    </tableColumn>
    <tableColumn id="15" xr3:uid="{00000000-0010-0000-0000-00000F000000}" name="How was our Atmosphere?.How relaxing and enjoyable was the café environment during your visit (music, noise level, seating)? " dataDxfId="7" totalsRowDxfId="6">
      <extLst>
        <ext xmlns:xlmsforms="http://schemas.microsoft.com/office/spreadsheetml/2023/msForms" uri="{FCC71383-01E1-4257-9335-427F07BE8D7F}">
          <xlmsforms:question id="r9b1125245dbb498a85d4c0b4127aa1c8"/>
        </ext>
      </extLst>
    </tableColumn>
    <tableColumn id="19" xr3:uid="{00000000-0010-0000-0000-000013000000}" name="What did you like most about you're experience?" dataDxfId="5" totalsRowDxfId="4">
      <extLst>
        <ext xmlns:xlmsforms="http://schemas.microsoft.com/office/spreadsheetml/2023/msForms" uri="{FCC71383-01E1-4257-9335-427F07BE8D7F}">
          <xlmsforms:question id="r25416781abac7dcaa8e83b2e627854b7"/>
        </ext>
      </extLst>
    </tableColumn>
    <tableColumn id="20" xr3:uid="{00000000-0010-0000-0000-000014000000}" name="Which areas could be improved?" dataDxfId="3" totalsRowDxfId="2">
      <extLst>
        <ext xmlns:xlmsforms="http://schemas.microsoft.com/office/spreadsheetml/2023/msForms" uri="{FCC71383-01E1-4257-9335-427F07BE8D7F}">
          <xlmsforms:question id="rfaa3be1de50cb2b8a76c5959f7d50456"/>
        </ext>
      </extLst>
    </tableColumn>
    <tableColumn id="21" xr3:uid="{00000000-0010-0000-0000-000015000000}" name="Any additional suggestions, comments, or concerns?" dataDxfId="1" totalsRowDxfId="0">
      <extLst>
        <ext xmlns:xlmsforms="http://schemas.microsoft.com/office/spreadsheetml/2023/msForms" uri="{FCC71383-01E1-4257-9335-427F07BE8D7F}">
          <xlmsforms:question id="rdcf86d4d4e1ea268a658087d0509ba9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7owM2y6viRPsB5ppLa5OjZUQzlDRkNaQ0FIU0ZQQVI5V0tISDQ2OFMxMS4u" isFormConnected="1" maxResponseId="19" latestEventMarker="5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r37e7030182c930139836db327348c8f7</xlmsforms:syncedQuestionId>
        <xlmsforms:syncedQuestionId>rd47eaab4ffa2a0b590dae0b5c4e67c6d</xlmsforms:syncedQuestionId>
        <xlmsforms:syncedQuestionId>r71f38c569fa103b492a5c1c54acfa9d2</xlmsforms:syncedQuestionId>
        <xlmsforms:syncedQuestionId>r05fa99674c8adf25bc6d88e49ebd682a</xlmsforms:syncedQuestionId>
        <xlmsforms:syncedQuestionId>rc4ba68a0c7b0b973ba9886a220bf2ce7</xlmsforms:syncedQuestionId>
        <xlmsforms:syncedQuestionId>r4973e64df7dadb7fb93967639c7fc83b</xlmsforms:syncedQuestionId>
        <xlmsforms:syncedQuestionId>r044b12442a46ef2e822c76a8ade527ef</xlmsforms:syncedQuestionId>
        <xlmsforms:syncedQuestionId>rbf7bae9a69ebd6dfbb1f20a065616ec4</xlmsforms:syncedQuestionId>
        <xlmsforms:syncedQuestionId>r92f984be9f0118e18ca33c840893efda</xlmsforms:syncedQuestionId>
        <xlmsforms:syncedQuestionId>r9b1125245dbb498a85d4c0b4127aa1c8</xlmsforms:syncedQuestionId>
        <xlmsforms:syncedQuestionId>rc8a657a67f246e18964d81cdfb77390e</xlmsforms:syncedQuestionId>
        <xlmsforms:syncedQuestionId>r87d98dfa9474332c92fa3791d2e5bd6d</xlmsforms:syncedQuestionId>
        <xlmsforms:syncedQuestionId>rdb05bc279968e7ce9e33993f5e5dbea8</xlmsforms:syncedQuestionId>
        <xlmsforms:syncedQuestionId>r25416781abac7dcaa8e83b2e627854b7</xlmsforms:syncedQuestionId>
        <xlmsforms:syncedQuestionId>rfaa3be1de50cb2b8a76c5959f7d50456</xlmsforms:syncedQuestionId>
        <xlmsforms:syncedQuestionId>rdcf86d4d4e1ea268a658087d0509ba95</xlmsforms:syncedQuestionId>
        <xlmsforms:syncedQuestionId>r164d92167a014a51b25c0850a3d81caf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2ECC-344C-4787-AEEC-BB255AA4415C}">
  <dimension ref="A1:B21"/>
  <sheetViews>
    <sheetView tabSelected="1" workbookViewId="0"/>
  </sheetViews>
  <sheetFormatPr defaultRowHeight="14.4" x14ac:dyDescent="0.3"/>
  <cols>
    <col min="1" max="1" width="16.6640625" bestFit="1" customWidth="1"/>
    <col min="2" max="2" width="23.6640625" bestFit="1" customWidth="1"/>
  </cols>
  <sheetData>
    <row r="1" spans="1:2" x14ac:dyDescent="0.3">
      <c r="A1" s="21" t="s">
        <v>117</v>
      </c>
      <c r="B1" t="s">
        <v>119</v>
      </c>
    </row>
    <row r="2" spans="1:2" x14ac:dyDescent="0.3">
      <c r="A2" s="22" t="s">
        <v>86</v>
      </c>
      <c r="B2" s="19">
        <v>4</v>
      </c>
    </row>
    <row r="3" spans="1:2" x14ac:dyDescent="0.3">
      <c r="A3" s="22" t="s">
        <v>110</v>
      </c>
      <c r="B3" s="19">
        <v>5</v>
      </c>
    </row>
    <row r="4" spans="1:2" x14ac:dyDescent="0.3">
      <c r="A4" s="22" t="s">
        <v>48</v>
      </c>
      <c r="B4" s="19">
        <v>4</v>
      </c>
    </row>
    <row r="5" spans="1:2" x14ac:dyDescent="0.3">
      <c r="A5" s="22" t="s">
        <v>78</v>
      </c>
      <c r="B5" s="19">
        <v>5</v>
      </c>
    </row>
    <row r="6" spans="1:2" x14ac:dyDescent="0.3">
      <c r="A6" s="22" t="s">
        <v>90</v>
      </c>
      <c r="B6" s="19">
        <v>5</v>
      </c>
    </row>
    <row r="7" spans="1:2" x14ac:dyDescent="0.3">
      <c r="A7" s="22" t="s">
        <v>67</v>
      </c>
      <c r="B7" s="19">
        <v>3</v>
      </c>
    </row>
    <row r="8" spans="1:2" x14ac:dyDescent="0.3">
      <c r="A8" s="22" t="s">
        <v>104</v>
      </c>
      <c r="B8" s="19">
        <v>2</v>
      </c>
    </row>
    <row r="9" spans="1:2" x14ac:dyDescent="0.3">
      <c r="A9" s="22" t="s">
        <v>64</v>
      </c>
      <c r="B9" s="19">
        <v>4</v>
      </c>
    </row>
    <row r="10" spans="1:2" x14ac:dyDescent="0.3">
      <c r="A10" s="22" t="s">
        <v>55</v>
      </c>
      <c r="B10" s="19">
        <v>4</v>
      </c>
    </row>
    <row r="11" spans="1:2" x14ac:dyDescent="0.3">
      <c r="A11" s="22" t="s">
        <v>72</v>
      </c>
      <c r="B11" s="19">
        <v>5</v>
      </c>
    </row>
    <row r="12" spans="1:2" x14ac:dyDescent="0.3">
      <c r="A12" s="22" t="s">
        <v>41</v>
      </c>
      <c r="B12" s="19">
        <v>5</v>
      </c>
    </row>
    <row r="13" spans="1:2" x14ac:dyDescent="0.3">
      <c r="A13" s="22" t="s">
        <v>102</v>
      </c>
      <c r="B13" s="19">
        <v>5</v>
      </c>
    </row>
    <row r="14" spans="1:2" x14ac:dyDescent="0.3">
      <c r="A14" s="22" t="s">
        <v>75</v>
      </c>
      <c r="B14" s="19">
        <v>5</v>
      </c>
    </row>
    <row r="15" spans="1:2" x14ac:dyDescent="0.3">
      <c r="A15" s="22" t="s">
        <v>94</v>
      </c>
      <c r="B15" s="19">
        <v>4</v>
      </c>
    </row>
    <row r="16" spans="1:2" x14ac:dyDescent="0.3">
      <c r="A16" s="22" t="s">
        <v>82</v>
      </c>
      <c r="B16" s="19">
        <v>4</v>
      </c>
    </row>
    <row r="17" spans="1:2" x14ac:dyDescent="0.3">
      <c r="A17" s="22" t="s">
        <v>107</v>
      </c>
      <c r="B17" s="19">
        <v>5</v>
      </c>
    </row>
    <row r="18" spans="1:2" x14ac:dyDescent="0.3">
      <c r="A18" s="22" t="s">
        <v>113</v>
      </c>
      <c r="B18" s="19">
        <v>4</v>
      </c>
    </row>
    <row r="19" spans="1:2" x14ac:dyDescent="0.3">
      <c r="A19" s="22" t="s">
        <v>60</v>
      </c>
      <c r="B19" s="19">
        <v>4</v>
      </c>
    </row>
    <row r="20" spans="1:2" x14ac:dyDescent="0.3">
      <c r="A20" s="22" t="s">
        <v>98</v>
      </c>
      <c r="B20" s="19">
        <v>5</v>
      </c>
    </row>
    <row r="21" spans="1:2" x14ac:dyDescent="0.3">
      <c r="A21" s="22" t="s">
        <v>118</v>
      </c>
      <c r="B21" s="19">
        <v>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616B-80E5-453C-8814-383396EBBE27}">
  <dimension ref="A1:R21"/>
  <sheetViews>
    <sheetView workbookViewId="0">
      <selection activeCell="A2" sqref="A2"/>
    </sheetView>
  </sheetViews>
  <sheetFormatPr defaultRowHeight="14.4" x14ac:dyDescent="0.3"/>
  <cols>
    <col min="1" max="1" width="20" bestFit="1" customWidth="1"/>
    <col min="2" max="2" width="20" style="20" bestFit="1" customWidth="1"/>
    <col min="3" max="3" width="20" bestFit="1" customWidth="1"/>
    <col min="4" max="4" width="20" customWidth="1"/>
    <col min="5" max="6" width="20" bestFit="1" customWidth="1"/>
    <col min="7" max="7" width="18.5546875" customWidth="1"/>
    <col min="8" max="22" width="20" bestFit="1" customWidth="1"/>
  </cols>
  <sheetData>
    <row r="1" spans="1:18" x14ac:dyDescent="0.3">
      <c r="A1" t="s">
        <v>0</v>
      </c>
      <c r="B1" s="20" t="s">
        <v>1</v>
      </c>
      <c r="C1" s="20" t="s">
        <v>2</v>
      </c>
      <c r="D1" s="20" t="s">
        <v>116</v>
      </c>
      <c r="E1" t="s">
        <v>3</v>
      </c>
      <c r="F1" t="s">
        <v>4</v>
      </c>
      <c r="G1" s="19" t="s">
        <v>29</v>
      </c>
      <c r="H1" t="s">
        <v>33</v>
      </c>
      <c r="I1" t="s">
        <v>7</v>
      </c>
      <c r="J1" t="s">
        <v>37</v>
      </c>
      <c r="K1" t="s">
        <v>32</v>
      </c>
      <c r="L1" t="s">
        <v>30</v>
      </c>
      <c r="M1" t="s">
        <v>36</v>
      </c>
      <c r="N1" t="s">
        <v>34</v>
      </c>
      <c r="O1" t="s">
        <v>35</v>
      </c>
      <c r="P1" t="s">
        <v>31</v>
      </c>
      <c r="Q1" t="s">
        <v>39</v>
      </c>
      <c r="R1" t="s">
        <v>38</v>
      </c>
    </row>
    <row r="2" spans="1:18" x14ac:dyDescent="0.3">
      <c r="A2" s="19">
        <v>1</v>
      </c>
      <c r="B2" s="20">
        <v>46121.562037037002</v>
      </c>
      <c r="C2" s="20">
        <v>46121.563252314802</v>
      </c>
      <c r="D2" s="20">
        <f t="shared" ref="D2:D20" si="0">C2-B2</f>
        <v>1.2152777999290265E-3</v>
      </c>
      <c r="E2" s="13" t="s">
        <v>40</v>
      </c>
      <c r="F2" s="13"/>
      <c r="G2" s="19" t="s">
        <v>41</v>
      </c>
      <c r="H2" s="13" t="s">
        <v>42</v>
      </c>
      <c r="I2" s="19">
        <v>5</v>
      </c>
      <c r="J2" s="13" t="s">
        <v>43</v>
      </c>
      <c r="K2" s="13" t="s">
        <v>43</v>
      </c>
      <c r="L2" s="13" t="s">
        <v>43</v>
      </c>
      <c r="M2" s="13" t="s">
        <v>44</v>
      </c>
      <c r="N2" s="13" t="s">
        <v>44</v>
      </c>
      <c r="O2" s="13" t="s">
        <v>44</v>
      </c>
      <c r="P2" s="13" t="s">
        <v>45</v>
      </c>
      <c r="Q2" s="13" t="s">
        <v>46</v>
      </c>
      <c r="R2" s="13" t="s">
        <v>47</v>
      </c>
    </row>
    <row r="3" spans="1:18" x14ac:dyDescent="0.3">
      <c r="A3" s="19">
        <v>2</v>
      </c>
      <c r="B3" s="20">
        <v>46121.562152777798</v>
      </c>
      <c r="C3" s="20">
        <v>46121.563275462999</v>
      </c>
      <c r="D3" s="20">
        <f t="shared" si="0"/>
        <v>1.1226852002437226E-3</v>
      </c>
      <c r="E3" s="13" t="s">
        <v>40</v>
      </c>
      <c r="F3" s="13"/>
      <c r="G3" s="19" t="s">
        <v>48</v>
      </c>
      <c r="H3" s="13" t="s">
        <v>42</v>
      </c>
      <c r="I3" s="19">
        <v>4</v>
      </c>
      <c r="J3" s="13" t="s">
        <v>49</v>
      </c>
      <c r="K3" s="13" t="s">
        <v>43</v>
      </c>
      <c r="L3" s="13" t="s">
        <v>43</v>
      </c>
      <c r="M3" s="13" t="s">
        <v>50</v>
      </c>
      <c r="N3" s="13" t="s">
        <v>51</v>
      </c>
      <c r="O3" s="13" t="s">
        <v>44</v>
      </c>
      <c r="P3" s="13" t="s">
        <v>52</v>
      </c>
      <c r="Q3" s="13" t="s">
        <v>53</v>
      </c>
      <c r="R3" s="13" t="s">
        <v>54</v>
      </c>
    </row>
    <row r="4" spans="1:18" x14ac:dyDescent="0.3">
      <c r="A4" s="19">
        <v>3</v>
      </c>
      <c r="B4" s="20">
        <v>46121.563750000001</v>
      </c>
      <c r="C4" s="20">
        <v>46121.564664351899</v>
      </c>
      <c r="D4" s="20">
        <f t="shared" si="0"/>
        <v>9.1435189824551344E-4</v>
      </c>
      <c r="E4" s="13" t="s">
        <v>40</v>
      </c>
      <c r="F4" s="13"/>
      <c r="G4" s="19" t="s">
        <v>55</v>
      </c>
      <c r="H4" s="13" t="s">
        <v>42</v>
      </c>
      <c r="I4" s="19">
        <v>4</v>
      </c>
      <c r="J4" s="13" t="s">
        <v>49</v>
      </c>
      <c r="K4" s="13" t="s">
        <v>49</v>
      </c>
      <c r="L4" s="13" t="s">
        <v>49</v>
      </c>
      <c r="M4" s="13" t="s">
        <v>50</v>
      </c>
      <c r="N4" s="13" t="s">
        <v>51</v>
      </c>
      <c r="O4" s="13" t="s">
        <v>56</v>
      </c>
      <c r="P4" s="13" t="s">
        <v>57</v>
      </c>
      <c r="Q4" s="13" t="s">
        <v>58</v>
      </c>
      <c r="R4" s="13" t="s">
        <v>59</v>
      </c>
    </row>
    <row r="5" spans="1:18" x14ac:dyDescent="0.3">
      <c r="A5" s="19">
        <v>4</v>
      </c>
      <c r="B5" s="20">
        <v>46121.566041666701</v>
      </c>
      <c r="C5" s="20">
        <v>46121.567546296297</v>
      </c>
      <c r="D5" s="20">
        <f t="shared" si="0"/>
        <v>1.5046295957290567E-3</v>
      </c>
      <c r="E5" s="13" t="s">
        <v>40</v>
      </c>
      <c r="F5" s="13"/>
      <c r="G5" s="19" t="s">
        <v>60</v>
      </c>
      <c r="H5" s="13" t="s">
        <v>61</v>
      </c>
      <c r="I5" s="19">
        <v>4</v>
      </c>
      <c r="J5" s="13" t="s">
        <v>49</v>
      </c>
      <c r="K5" s="13" t="s">
        <v>49</v>
      </c>
      <c r="L5" s="13" t="s">
        <v>43</v>
      </c>
      <c r="M5" s="13" t="s">
        <v>50</v>
      </c>
      <c r="N5" s="13" t="s">
        <v>50</v>
      </c>
      <c r="O5" s="13" t="s">
        <v>50</v>
      </c>
      <c r="P5" s="13" t="s">
        <v>62</v>
      </c>
      <c r="Q5" s="13" t="s">
        <v>63</v>
      </c>
      <c r="R5" s="13"/>
    </row>
    <row r="6" spans="1:18" x14ac:dyDescent="0.3">
      <c r="A6" s="19">
        <v>5</v>
      </c>
      <c r="B6" s="20">
        <v>46121.567766203698</v>
      </c>
      <c r="C6" s="20">
        <v>46121.568101851903</v>
      </c>
      <c r="D6" s="20">
        <f t="shared" si="0"/>
        <v>3.3564820478204638E-4</v>
      </c>
      <c r="E6" s="13" t="s">
        <v>40</v>
      </c>
      <c r="F6" s="13"/>
      <c r="G6" s="19" t="s">
        <v>64</v>
      </c>
      <c r="H6" s="13" t="s">
        <v>61</v>
      </c>
      <c r="I6" s="19">
        <v>4</v>
      </c>
      <c r="J6" s="13" t="s">
        <v>43</v>
      </c>
      <c r="K6" s="13" t="s">
        <v>49</v>
      </c>
      <c r="L6" s="13" t="s">
        <v>43</v>
      </c>
      <c r="M6" s="13" t="s">
        <v>50</v>
      </c>
      <c r="N6" s="13" t="s">
        <v>44</v>
      </c>
      <c r="O6" s="13" t="s">
        <v>50</v>
      </c>
      <c r="P6" s="13" t="s">
        <v>65</v>
      </c>
      <c r="Q6" s="13" t="s">
        <v>66</v>
      </c>
      <c r="R6" s="13"/>
    </row>
    <row r="7" spans="1:18" x14ac:dyDescent="0.3">
      <c r="A7" s="19">
        <v>6</v>
      </c>
      <c r="B7" s="20">
        <v>46121.565648148098</v>
      </c>
      <c r="C7" s="20">
        <v>46121.568206018499</v>
      </c>
      <c r="D7" s="20">
        <f t="shared" si="0"/>
        <v>2.5578704007784836E-3</v>
      </c>
      <c r="E7" s="13" t="s">
        <v>40</v>
      </c>
      <c r="F7" s="13"/>
      <c r="G7" s="19" t="s">
        <v>67</v>
      </c>
      <c r="H7" s="13" t="s">
        <v>42</v>
      </c>
      <c r="I7" s="19">
        <v>3</v>
      </c>
      <c r="J7" s="13" t="s">
        <v>49</v>
      </c>
      <c r="K7" s="13" t="s">
        <v>68</v>
      </c>
      <c r="L7" s="13" t="s">
        <v>68</v>
      </c>
      <c r="M7" s="13" t="s">
        <v>51</v>
      </c>
      <c r="N7" s="13" t="s">
        <v>50</v>
      </c>
      <c r="O7" s="13" t="s">
        <v>56</v>
      </c>
      <c r="P7" s="13" t="s">
        <v>69</v>
      </c>
      <c r="Q7" s="13" t="s">
        <v>70</v>
      </c>
      <c r="R7" s="13" t="s">
        <v>71</v>
      </c>
    </row>
    <row r="8" spans="1:18" x14ac:dyDescent="0.3">
      <c r="A8" s="19">
        <v>7</v>
      </c>
      <c r="B8" s="20">
        <v>46121.5708564815</v>
      </c>
      <c r="C8" s="20">
        <v>46121.572037037004</v>
      </c>
      <c r="D8" s="20">
        <f t="shared" si="0"/>
        <v>1.1805555041064508E-3</v>
      </c>
      <c r="E8" s="13" t="s">
        <v>40</v>
      </c>
      <c r="F8" s="13"/>
      <c r="G8" s="19" t="s">
        <v>72</v>
      </c>
      <c r="H8" s="13" t="s">
        <v>61</v>
      </c>
      <c r="I8" s="19">
        <v>5</v>
      </c>
      <c r="J8" s="13" t="s">
        <v>49</v>
      </c>
      <c r="K8" s="13" t="s">
        <v>43</v>
      </c>
      <c r="L8" s="13" t="s">
        <v>49</v>
      </c>
      <c r="M8" s="13" t="s">
        <v>44</v>
      </c>
      <c r="N8" s="13" t="s">
        <v>50</v>
      </c>
      <c r="O8" s="13" t="s">
        <v>44</v>
      </c>
      <c r="P8" s="13" t="s">
        <v>73</v>
      </c>
      <c r="Q8" s="13" t="s">
        <v>74</v>
      </c>
      <c r="R8" s="13"/>
    </row>
    <row r="9" spans="1:18" x14ac:dyDescent="0.3">
      <c r="A9" s="19">
        <v>8</v>
      </c>
      <c r="B9" s="20">
        <v>46121.573518518497</v>
      </c>
      <c r="C9" s="20">
        <v>46121.574016203696</v>
      </c>
      <c r="D9" s="20">
        <f t="shared" si="0"/>
        <v>4.9768519966164604E-4</v>
      </c>
      <c r="E9" s="13" t="s">
        <v>40</v>
      </c>
      <c r="F9" s="13"/>
      <c r="G9" s="19" t="s">
        <v>75</v>
      </c>
      <c r="H9" s="13" t="s">
        <v>61</v>
      </c>
      <c r="I9" s="19">
        <v>5</v>
      </c>
      <c r="J9" s="13" t="s">
        <v>43</v>
      </c>
      <c r="K9" s="13" t="s">
        <v>43</v>
      </c>
      <c r="L9" s="13" t="s">
        <v>43</v>
      </c>
      <c r="M9" s="13" t="s">
        <v>44</v>
      </c>
      <c r="N9" s="13" t="s">
        <v>44</v>
      </c>
      <c r="O9" s="13" t="s">
        <v>44</v>
      </c>
      <c r="P9" s="13" t="s">
        <v>76</v>
      </c>
      <c r="Q9" s="13" t="s">
        <v>77</v>
      </c>
      <c r="R9" s="13"/>
    </row>
    <row r="10" spans="1:18" x14ac:dyDescent="0.3">
      <c r="A10" s="19">
        <v>9</v>
      </c>
      <c r="B10" s="20">
        <v>46121.575115740699</v>
      </c>
      <c r="C10" s="20">
        <v>46121.576631944401</v>
      </c>
      <c r="D10" s="20">
        <f t="shared" si="0"/>
        <v>1.5162037016125396E-3</v>
      </c>
      <c r="E10" s="13" t="s">
        <v>40</v>
      </c>
      <c r="F10" s="13"/>
      <c r="G10" s="19" t="s">
        <v>78</v>
      </c>
      <c r="H10" s="13" t="s">
        <v>61</v>
      </c>
      <c r="I10" s="19">
        <v>5</v>
      </c>
      <c r="J10" s="13" t="s">
        <v>49</v>
      </c>
      <c r="K10" s="13" t="s">
        <v>49</v>
      </c>
      <c r="L10" s="13" t="s">
        <v>49</v>
      </c>
      <c r="M10" s="13" t="s">
        <v>50</v>
      </c>
      <c r="N10" s="13" t="s">
        <v>50</v>
      </c>
      <c r="O10" s="13" t="s">
        <v>50</v>
      </c>
      <c r="P10" s="13" t="s">
        <v>79</v>
      </c>
      <c r="Q10" s="13" t="s">
        <v>80</v>
      </c>
      <c r="R10" s="13" t="s">
        <v>81</v>
      </c>
    </row>
    <row r="11" spans="1:18" x14ac:dyDescent="0.3">
      <c r="A11" s="19">
        <v>10</v>
      </c>
      <c r="B11" s="20">
        <v>46121.576249999998</v>
      </c>
      <c r="C11" s="20">
        <v>46121.576921296299</v>
      </c>
      <c r="D11" s="20">
        <f t="shared" si="0"/>
        <v>6.7129630042472854E-4</v>
      </c>
      <c r="E11" s="13" t="s">
        <v>40</v>
      </c>
      <c r="F11" s="13"/>
      <c r="G11" s="19" t="s">
        <v>82</v>
      </c>
      <c r="H11" s="13" t="s">
        <v>42</v>
      </c>
      <c r="I11" s="19">
        <v>4</v>
      </c>
      <c r="J11" s="13" t="s">
        <v>49</v>
      </c>
      <c r="K11" s="13" t="s">
        <v>43</v>
      </c>
      <c r="L11" s="13" t="s">
        <v>43</v>
      </c>
      <c r="M11" s="13" t="s">
        <v>50</v>
      </c>
      <c r="N11" s="13" t="s">
        <v>44</v>
      </c>
      <c r="O11" s="13" t="s">
        <v>51</v>
      </c>
      <c r="P11" s="13" t="s">
        <v>83</v>
      </c>
      <c r="Q11" s="13" t="s">
        <v>84</v>
      </c>
      <c r="R11" s="13" t="s">
        <v>85</v>
      </c>
    </row>
    <row r="12" spans="1:18" x14ac:dyDescent="0.3">
      <c r="A12" s="19">
        <v>11</v>
      </c>
      <c r="B12" s="20">
        <v>46121.575856481497</v>
      </c>
      <c r="C12" s="20">
        <v>46121.5780324074</v>
      </c>
      <c r="D12" s="20">
        <f t="shared" si="0"/>
        <v>2.1759259034297429E-3</v>
      </c>
      <c r="E12" s="13" t="s">
        <v>40</v>
      </c>
      <c r="F12" s="13"/>
      <c r="G12" s="19" t="s">
        <v>86</v>
      </c>
      <c r="H12" s="13" t="s">
        <v>61</v>
      </c>
      <c r="I12" s="19">
        <v>4</v>
      </c>
      <c r="J12" s="13" t="s">
        <v>43</v>
      </c>
      <c r="K12" s="13" t="s">
        <v>49</v>
      </c>
      <c r="L12" s="13" t="s">
        <v>49</v>
      </c>
      <c r="M12" s="13" t="s">
        <v>50</v>
      </c>
      <c r="N12" s="13" t="s">
        <v>51</v>
      </c>
      <c r="O12" s="13" t="s">
        <v>44</v>
      </c>
      <c r="P12" s="13" t="s">
        <v>87</v>
      </c>
      <c r="Q12" s="13" t="s">
        <v>88</v>
      </c>
      <c r="R12" s="13" t="s">
        <v>89</v>
      </c>
    </row>
    <row r="13" spans="1:18" x14ac:dyDescent="0.3">
      <c r="A13" s="19">
        <v>12</v>
      </c>
      <c r="B13" s="20">
        <v>46121.582233796304</v>
      </c>
      <c r="C13" s="20">
        <v>46121.582928240699</v>
      </c>
      <c r="D13" s="20">
        <f t="shared" si="0"/>
        <v>6.944443957763724E-4</v>
      </c>
      <c r="E13" s="13" t="s">
        <v>40</v>
      </c>
      <c r="F13" s="13"/>
      <c r="G13" s="19" t="s">
        <v>90</v>
      </c>
      <c r="H13" s="13" t="s">
        <v>61</v>
      </c>
      <c r="I13" s="19">
        <v>5</v>
      </c>
      <c r="J13" s="13" t="s">
        <v>49</v>
      </c>
      <c r="K13" s="13" t="s">
        <v>49</v>
      </c>
      <c r="L13" s="13" t="s">
        <v>43</v>
      </c>
      <c r="M13" s="13" t="s">
        <v>50</v>
      </c>
      <c r="N13" s="13" t="s">
        <v>44</v>
      </c>
      <c r="O13" s="13" t="s">
        <v>50</v>
      </c>
      <c r="P13" s="13" t="s">
        <v>91</v>
      </c>
      <c r="Q13" s="13" t="s">
        <v>92</v>
      </c>
      <c r="R13" s="13" t="s">
        <v>93</v>
      </c>
    </row>
    <row r="14" spans="1:18" x14ac:dyDescent="0.3">
      <c r="A14" s="19">
        <v>13</v>
      </c>
      <c r="B14" s="20">
        <v>46121.622384259303</v>
      </c>
      <c r="C14" s="20">
        <v>46121.622407407398</v>
      </c>
      <c r="D14" s="20">
        <f t="shared" si="0"/>
        <v>2.314809535164386E-5</v>
      </c>
      <c r="E14" s="13" t="s">
        <v>40</v>
      </c>
      <c r="F14" s="13"/>
      <c r="G14" s="19" t="s">
        <v>94</v>
      </c>
      <c r="H14" s="13" t="s">
        <v>42</v>
      </c>
      <c r="I14" s="19">
        <v>4</v>
      </c>
      <c r="J14" s="13" t="s">
        <v>49</v>
      </c>
      <c r="K14" s="13" t="s">
        <v>43</v>
      </c>
      <c r="L14" s="13" t="s">
        <v>51</v>
      </c>
      <c r="M14" s="13" t="s">
        <v>50</v>
      </c>
      <c r="N14" s="13" t="s">
        <v>50</v>
      </c>
      <c r="O14" s="13" t="s">
        <v>50</v>
      </c>
      <c r="P14" s="13" t="s">
        <v>95</v>
      </c>
      <c r="Q14" s="13" t="s">
        <v>96</v>
      </c>
      <c r="R14" s="13" t="s">
        <v>97</v>
      </c>
    </row>
    <row r="15" spans="1:18" x14ac:dyDescent="0.3">
      <c r="A15" s="19">
        <v>14</v>
      </c>
      <c r="B15" s="20">
        <v>46121.6866435185</v>
      </c>
      <c r="C15" s="20">
        <v>46121.6961226852</v>
      </c>
      <c r="D15" s="20">
        <f t="shared" si="0"/>
        <v>9.4791666997480206E-3</v>
      </c>
      <c r="E15" s="13" t="s">
        <v>40</v>
      </c>
      <c r="F15" s="13"/>
      <c r="G15" s="19" t="s">
        <v>98</v>
      </c>
      <c r="H15" s="13" t="s">
        <v>42</v>
      </c>
      <c r="I15" s="19">
        <v>5</v>
      </c>
      <c r="J15" s="13" t="s">
        <v>49</v>
      </c>
      <c r="K15" s="13" t="s">
        <v>49</v>
      </c>
      <c r="L15" s="13" t="s">
        <v>49</v>
      </c>
      <c r="M15" s="13" t="s">
        <v>50</v>
      </c>
      <c r="N15" s="13" t="s">
        <v>50</v>
      </c>
      <c r="O15" s="13" t="s">
        <v>50</v>
      </c>
      <c r="P15" s="13" t="s">
        <v>99</v>
      </c>
      <c r="Q15" s="13" t="s">
        <v>100</v>
      </c>
      <c r="R15" s="13" t="s">
        <v>101</v>
      </c>
    </row>
    <row r="16" spans="1:18" x14ac:dyDescent="0.3">
      <c r="A16" s="19">
        <v>15</v>
      </c>
      <c r="B16" s="20">
        <v>46121.569178240701</v>
      </c>
      <c r="C16" s="20">
        <v>46121.7130555556</v>
      </c>
      <c r="D16" s="20">
        <f t="shared" si="0"/>
        <v>0.14387731489841826</v>
      </c>
      <c r="E16" s="13" t="s">
        <v>40</v>
      </c>
      <c r="F16" s="13"/>
      <c r="G16" s="19" t="s">
        <v>102</v>
      </c>
      <c r="H16" s="13" t="s">
        <v>61</v>
      </c>
      <c r="I16" s="19">
        <v>5</v>
      </c>
      <c r="J16" s="13" t="s">
        <v>49</v>
      </c>
      <c r="K16" s="13" t="s">
        <v>49</v>
      </c>
      <c r="L16" s="13" t="s">
        <v>49</v>
      </c>
      <c r="M16" s="13" t="s">
        <v>50</v>
      </c>
      <c r="N16" s="13" t="s">
        <v>50</v>
      </c>
      <c r="O16" s="13" t="s">
        <v>50</v>
      </c>
      <c r="P16" s="13" t="s">
        <v>103</v>
      </c>
      <c r="Q16" s="13" t="s">
        <v>89</v>
      </c>
      <c r="R16" s="13" t="s">
        <v>89</v>
      </c>
    </row>
    <row r="17" spans="1:18" x14ac:dyDescent="0.3">
      <c r="A17" s="19">
        <v>16</v>
      </c>
      <c r="B17" s="20">
        <v>46121.751238425903</v>
      </c>
      <c r="C17" s="20">
        <v>46121.751724537004</v>
      </c>
      <c r="D17" s="20">
        <f t="shared" si="0"/>
        <v>4.8611110105412081E-4</v>
      </c>
      <c r="E17" s="13" t="s">
        <v>40</v>
      </c>
      <c r="F17" s="13"/>
      <c r="G17" s="19" t="s">
        <v>104</v>
      </c>
      <c r="H17" s="13" t="s">
        <v>61</v>
      </c>
      <c r="I17" s="19">
        <v>2</v>
      </c>
      <c r="J17" s="13" t="s">
        <v>68</v>
      </c>
      <c r="K17" s="13" t="s">
        <v>49</v>
      </c>
      <c r="L17" s="13" t="s">
        <v>51</v>
      </c>
      <c r="M17" s="13" t="s">
        <v>56</v>
      </c>
      <c r="N17" s="13" t="s">
        <v>50</v>
      </c>
      <c r="O17" s="13" t="s">
        <v>50</v>
      </c>
      <c r="P17" s="13" t="s">
        <v>105</v>
      </c>
      <c r="Q17" s="13" t="s">
        <v>106</v>
      </c>
      <c r="R17" s="13" t="s">
        <v>54</v>
      </c>
    </row>
    <row r="18" spans="1:18" x14ac:dyDescent="0.3">
      <c r="A18" s="19">
        <v>17</v>
      </c>
      <c r="B18" s="20">
        <v>46122.425196759301</v>
      </c>
      <c r="C18" s="20">
        <v>46122.425856481503</v>
      </c>
      <c r="D18" s="20">
        <f t="shared" si="0"/>
        <v>6.5972220181720331E-4</v>
      </c>
      <c r="E18" s="13" t="s">
        <v>40</v>
      </c>
      <c r="F18" s="13"/>
      <c r="G18" s="19" t="s">
        <v>107</v>
      </c>
      <c r="H18" s="13" t="s">
        <v>61</v>
      </c>
      <c r="I18" s="19">
        <v>5</v>
      </c>
      <c r="J18" s="13" t="s">
        <v>43</v>
      </c>
      <c r="K18" s="13" t="s">
        <v>49</v>
      </c>
      <c r="L18" s="13" t="s">
        <v>43</v>
      </c>
      <c r="M18" s="13" t="s">
        <v>44</v>
      </c>
      <c r="N18" s="13" t="s">
        <v>44</v>
      </c>
      <c r="O18" s="13" t="s">
        <v>50</v>
      </c>
      <c r="P18" s="13" t="s">
        <v>108</v>
      </c>
      <c r="Q18" s="13" t="s">
        <v>109</v>
      </c>
      <c r="R18" s="13"/>
    </row>
    <row r="19" spans="1:18" x14ac:dyDescent="0.3">
      <c r="A19" s="19">
        <v>18</v>
      </c>
      <c r="B19" s="20">
        <v>46122.545277777797</v>
      </c>
      <c r="C19" s="20">
        <v>46122.545925925901</v>
      </c>
      <c r="D19" s="20">
        <f t="shared" si="0"/>
        <v>6.4814810320967808E-4</v>
      </c>
      <c r="E19" s="13" t="s">
        <v>40</v>
      </c>
      <c r="F19" s="13"/>
      <c r="G19" s="19" t="s">
        <v>110</v>
      </c>
      <c r="H19" s="13" t="s">
        <v>42</v>
      </c>
      <c r="I19" s="19">
        <v>5</v>
      </c>
      <c r="J19" s="13" t="s">
        <v>49</v>
      </c>
      <c r="K19" s="13" t="s">
        <v>43</v>
      </c>
      <c r="L19" s="13" t="s">
        <v>49</v>
      </c>
      <c r="M19" s="13" t="s">
        <v>50</v>
      </c>
      <c r="N19" s="13" t="s">
        <v>51</v>
      </c>
      <c r="O19" s="13" t="s">
        <v>50</v>
      </c>
      <c r="P19" s="13" t="s">
        <v>111</v>
      </c>
      <c r="Q19" s="13" t="s">
        <v>112</v>
      </c>
      <c r="R19" s="13"/>
    </row>
    <row r="20" spans="1:18" x14ac:dyDescent="0.3">
      <c r="A20" s="19">
        <v>19</v>
      </c>
      <c r="B20" s="20">
        <v>46122.614108796297</v>
      </c>
      <c r="C20" s="20">
        <v>46122.616388888899</v>
      </c>
      <c r="D20" s="20">
        <f t="shared" si="0"/>
        <v>2.280092601722572E-3</v>
      </c>
      <c r="E20" s="13" t="s">
        <v>40</v>
      </c>
      <c r="F20" s="13"/>
      <c r="G20" s="19" t="s">
        <v>113</v>
      </c>
      <c r="H20" s="13" t="s">
        <v>61</v>
      </c>
      <c r="I20" s="19">
        <v>4</v>
      </c>
      <c r="J20" s="13" t="s">
        <v>51</v>
      </c>
      <c r="K20" s="13" t="s">
        <v>49</v>
      </c>
      <c r="L20" s="13" t="s">
        <v>51</v>
      </c>
      <c r="M20" s="13" t="s">
        <v>50</v>
      </c>
      <c r="N20" s="13" t="s">
        <v>44</v>
      </c>
      <c r="O20" s="13" t="s">
        <v>50</v>
      </c>
      <c r="P20" s="13" t="s">
        <v>114</v>
      </c>
      <c r="Q20" s="13" t="s">
        <v>115</v>
      </c>
      <c r="R20" s="13"/>
    </row>
    <row r="21" spans="1:18" x14ac:dyDescent="0.3">
      <c r="A21" s="19"/>
      <c r="C21" s="20"/>
      <c r="D21" s="20">
        <f>AVERAGE(D2:D20)</f>
        <v>9.0442251476863592E-3</v>
      </c>
      <c r="E21" s="13"/>
      <c r="F21" s="13"/>
      <c r="G21" s="19"/>
      <c r="H21" s="13"/>
      <c r="I21" s="19">
        <f>AVERAGE(OfficeForms.Table[Overall Satisfaction])</f>
        <v>4.3157894736842106</v>
      </c>
      <c r="J21" s="13"/>
      <c r="K21" s="13"/>
      <c r="L21" s="13"/>
      <c r="M21" s="13"/>
      <c r="N21" s="13"/>
      <c r="O21" s="13"/>
      <c r="P21" s="13"/>
      <c r="Q21" s="13"/>
      <c r="R21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0247-9C28-45BF-A227-60B2F2F5BFA5}">
  <dimension ref="A1:C36"/>
  <sheetViews>
    <sheetView workbookViewId="0">
      <selection activeCell="B1" sqref="B1:B1048576"/>
    </sheetView>
  </sheetViews>
  <sheetFormatPr defaultRowHeight="14.4" x14ac:dyDescent="0.3"/>
  <cols>
    <col min="1" max="4" width="44.88671875" customWidth="1"/>
  </cols>
  <sheetData>
    <row r="1" spans="1:3" ht="75" customHeight="1" x14ac:dyDescent="0.3">
      <c r="A1" s="1" t="s">
        <v>11</v>
      </c>
      <c r="B1" s="1" t="s">
        <v>12</v>
      </c>
    </row>
    <row r="2" spans="1:3" ht="75" customHeight="1" x14ac:dyDescent="0.3">
      <c r="A2" s="3">
        <f>(COUNTIF(OfficeForms.Table[Overall Satisfaction], "4") + COUNTIF(OfficeForms.Table[Overall Satisfaction], "5")) / COUNTIF(OfficeForms.Table[Overall Satisfaction], "&lt;&gt;")</f>
        <v>0.89473684210526316</v>
      </c>
      <c r="B2" s="2">
        <f>COUNTIF(OfficeForms.Table[Id], "&lt;&gt;")</f>
        <v>19</v>
      </c>
    </row>
    <row r="4" spans="1:3" ht="40.049999999999997" customHeight="1" x14ac:dyDescent="0.3">
      <c r="A4" s="14" t="s">
        <v>13</v>
      </c>
      <c r="B4" s="14"/>
      <c r="C4" s="14"/>
    </row>
    <row r="5" spans="1:3" ht="30" customHeight="1" x14ac:dyDescent="0.3">
      <c r="A5" s="4" t="s">
        <v>5</v>
      </c>
      <c r="B5" s="4" t="s">
        <v>11</v>
      </c>
      <c r="C5" s="4" t="s">
        <v>12</v>
      </c>
    </row>
    <row r="6" spans="1:3" x14ac:dyDescent="0.3">
      <c r="A6" s="5" t="e" cm="1">
        <f t="array" ref="A6">_xlfn.UNIQUE(_xlfn._xlws.FILTER(#REF!, #REF!&lt;&gt;"" ))</f>
        <v>#REF!</v>
      </c>
      <c r="B6" s="6" t="e" cm="1">
        <f t="array" ref="B6">_xlfn.MAKEARRAY(ROWS(_xlfn.UNIQUE(_xlfn._xlws.FILTER(#REF!, #REF!&lt;&gt;"" ))), 1, _xlfn.LAMBDA(_xlpm.r,_xlpm.c, (COUNTIFS(#REF!, INDEX(_xlfn.UNIQUE(_xlfn._xlws.FILTER(#REF!, #REF!&lt;&gt;"" )), _xlpm.r, 1), OfficeForms.Table[Overall Satisfaction], "4") + COUNTIFS(#REF!, INDEX(_xlfn.UNIQUE(_xlfn._xlws.FILTER(#REF!, #REF!&lt;&gt;"" )), _xlpm.r, 1), OfficeForms.Table[Overall Satisfaction], "5")) / COUNTIF(#REF!, INDEX(_xlfn.UNIQUE(_xlfn._xlws.FILTER(#REF!, #REF!&lt;&gt;"" )), _xlpm.r, 1))))</f>
        <v>#REF!</v>
      </c>
      <c r="C6" s="5" t="e" cm="1">
        <f t="array" ref="C6">_xlfn.MAKEARRAY(ROWS(_xlfn.UNIQUE(_xlfn._xlws.FILTER(#REF!, #REF!&lt;&gt;"" ))), 1, _xlfn.LAMBDA(_xlpm.r,_xlpm.c, COUNTIF(#REF!, INDEX(_xlfn.UNIQUE(_xlfn._xlws.FILTER(#REF!, #REF!&lt;&gt;"" )), _xlpm.r, 1))))</f>
        <v>#REF!</v>
      </c>
    </row>
    <row r="7" spans="1:3" x14ac:dyDescent="0.3">
      <c r="B7" s="7"/>
    </row>
    <row r="8" spans="1:3" x14ac:dyDescent="0.3">
      <c r="B8" s="7"/>
    </row>
    <row r="11" spans="1:3" ht="40.049999999999997" customHeight="1" x14ac:dyDescent="0.3">
      <c r="A11" s="15" t="s">
        <v>14</v>
      </c>
      <c r="B11" s="15"/>
      <c r="C11" s="15"/>
    </row>
    <row r="12" spans="1:3" ht="30" customHeight="1" x14ac:dyDescent="0.3">
      <c r="A12" s="8" t="s">
        <v>6</v>
      </c>
      <c r="B12" s="8" t="s">
        <v>11</v>
      </c>
      <c r="C12" s="8" t="s">
        <v>12</v>
      </c>
    </row>
    <row r="13" spans="1:3" x14ac:dyDescent="0.3">
      <c r="A13" s="5" t="str" cm="1">
        <f t="array" ref="A13:A14">_xlfn.UNIQUE(_xlfn._xlws.FILTER(OfficeForms.Table[Is This You''re First Time Here or Returning Customer?], OfficeForms.Table[Is This You''re First Time Here or Returning Customer?]&lt;&gt;"" ))</f>
        <v>Returning customer</v>
      </c>
      <c r="B13" s="6" cm="1">
        <f t="array" ref="B13:B14">_xlfn.MAKEARRAY(ROWS(_xlfn.UNIQUE(_xlfn._xlws.FILTER(OfficeForms.Table[Is This You''re First Time Here or Returning Customer?], OfficeForms.Table[Is This You''re First Time Here or Returning Customer?]&lt;&gt;"" ))), 1, _xlfn.LAMBDA(_xlpm.r,_xlpm.c, (COUNTIFS(OfficeForms.Table[Is This You''re First Time Here or Returning Customer?], INDEX(_xlfn.UNIQUE(_xlfn._xlws.FILTER(OfficeForms.Table[Is This You''re First Time Here or Returning Customer?], OfficeForms.Table[Is This You''re First Time Here or Returning Customer?]&lt;&gt;"" )), _xlpm.r, 1), OfficeForms.Table[Overall Satisfaction], "4") + COUNTIFS(OfficeForms.Table[Is This You''re First Time Here or Returning Customer?], INDEX(_xlfn.UNIQUE(_xlfn._xlws.FILTER(OfficeForms.Table[Is This You''re First Time Here or Returning Customer?], OfficeForms.Table[Is This You''re First Time Here or Returning Customer?]&lt;&gt;"" )), _xlpm.r, 1), OfficeForms.Table[Overall Satisfaction], "5")) / COUNTIF(OfficeForms.Table[Is This You''re First Time Here or Returning Customer?], INDEX(_xlfn.UNIQUE(_xlfn._xlws.FILTER(OfficeForms.Table[Is This You''re First Time Here or Returning Customer?], OfficeForms.Table[Is This You''re First Time Here or Returning Customer?]&lt;&gt;"" )), _xlpm.r, 1))))</f>
        <v>0.875</v>
      </c>
      <c r="C13" s="5" cm="1">
        <f t="array" ref="C13:C14">_xlfn.MAKEARRAY(ROWS(_xlfn.UNIQUE(_xlfn._xlws.FILTER(OfficeForms.Table[Is This You''re First Time Here or Returning Customer?], OfficeForms.Table[Is This You''re First Time Here or Returning Customer?]&lt;&gt;"" ))), 1, _xlfn.LAMBDA(_xlpm.r,_xlpm.c, COUNTIF(OfficeForms.Table[Is This You''re First Time Here or Returning Customer?], INDEX(_xlfn.UNIQUE(_xlfn._xlws.FILTER(OfficeForms.Table[Is This You''re First Time Here or Returning Customer?], OfficeForms.Table[Is This You''re First Time Here or Returning Customer?]&lt;&gt;"" )), _xlpm.r, 1))))</f>
        <v>8</v>
      </c>
    </row>
    <row r="14" spans="1:3" x14ac:dyDescent="0.3">
      <c r="A14" t="str">
        <v>First Time</v>
      </c>
      <c r="B14" s="7">
        <v>0.90909090909090906</v>
      </c>
      <c r="C14">
        <v>11</v>
      </c>
    </row>
    <row r="15" spans="1:3" x14ac:dyDescent="0.3">
      <c r="B15" s="7"/>
    </row>
    <row r="18" spans="1:2" ht="40.049999999999997" customHeight="1" x14ac:dyDescent="0.3">
      <c r="A18" s="16" t="s">
        <v>15</v>
      </c>
      <c r="B18" s="16"/>
    </row>
    <row r="19" spans="1:2" ht="30" customHeight="1" x14ac:dyDescent="0.3">
      <c r="A19" s="9" t="s">
        <v>16</v>
      </c>
      <c r="B19" s="9" t="s">
        <v>17</v>
      </c>
    </row>
    <row r="20" spans="1:2" x14ac:dyDescent="0.3">
      <c r="A20" s="5" t="s">
        <v>18</v>
      </c>
      <c r="B20" s="6">
        <f>(COUNTIF(OfficeForms.Table[How was the Customer Service?.How would you rate the friendliness and professionalism of our staff? ], "Excellent") + COUNTIF(OfficeForms.Table[How was the Customer Service?.How would you rate the friendliness and professionalism of our staff? ], "Good")) / COUNTIF(OfficeForms.Table[How was the Customer Service?.How would you rate the friendliness and professionalism of our staff? ], "&lt;&gt;")</f>
        <v>0.89473684210526316</v>
      </c>
    </row>
    <row r="21" spans="1:2" x14ac:dyDescent="0.3">
      <c r="A21" s="5" t="s">
        <v>19</v>
      </c>
      <c r="B21" s="6">
        <f>(COUNTIF(OfficeForms.Table[How was the Customer Service?.How satisfied were you with how quickly and efficiently our staff served you? ], "Excellent") + COUNTIF(OfficeForms.Table[How was the Customer Service?.How satisfied were you with how quickly and efficiently our staff served you? ], "Good")) / COUNTIF(OfficeForms.Table[How was the Customer Service?.How satisfied were you with how quickly and efficiently our staff served you? ], "&lt;&gt;")</f>
        <v>0.94736842105263153</v>
      </c>
    </row>
    <row r="22" spans="1:2" x14ac:dyDescent="0.3">
      <c r="A22" s="5" t="s">
        <v>20</v>
      </c>
      <c r="B22" s="6">
        <f>(COUNTIF(OfficeForms.Table[How was the Customer Service?.How well did our staff address your needs or questions during your visit? ], "Excellent") + COUNTIF(OfficeForms.Table[How was the Customer Service?.How well did our staff address your needs or questions during your visit? ], "Good")) / COUNTIF(OfficeForms.Table[How was the Customer Service?.How well did our staff address your needs or questions during your visit? ], "&lt;&gt;")</f>
        <v>0.78947368421052633</v>
      </c>
    </row>
    <row r="25" spans="1:2" ht="40.049999999999997" customHeight="1" x14ac:dyDescent="0.3">
      <c r="A25" s="17" t="s">
        <v>21</v>
      </c>
      <c r="B25" s="17"/>
    </row>
    <row r="26" spans="1:2" ht="30" customHeight="1" x14ac:dyDescent="0.3">
      <c r="A26" s="10" t="s">
        <v>16</v>
      </c>
      <c r="B26" s="10" t="s">
        <v>17</v>
      </c>
    </row>
    <row r="27" spans="1:2" x14ac:dyDescent="0.3">
      <c r="A27" s="5" t="s">
        <v>22</v>
      </c>
      <c r="B27" s="6">
        <f>(COUNTIF(OfficeForms.Table[How was our Atmosphere?.How would you rate the overall atmosphere and comfort of our café? ], "Very Easy") + COUNTIF(OfficeForms.Table[How was our Atmosphere?.How would you rate the overall atmosphere and comfort of our café? ], "Easy")) / COUNTIF(OfficeForms.Table[How was our Atmosphere?.How would you rate the overall atmosphere and comfort of our café? ], "&lt;&gt;")</f>
        <v>0.89473684210526316</v>
      </c>
    </row>
    <row r="28" spans="1:2" x14ac:dyDescent="0.3">
      <c r="A28" s="5" t="s">
        <v>23</v>
      </c>
      <c r="B28" s="6">
        <f>(COUNTIF(OfficeForms.Table[How was our Atmosphere?.How appealing did you find the café’s interior design, lighting, and décor? ], "Very Easy") + COUNTIF(OfficeForms.Table[How was our Atmosphere?.How appealing did you find the café’s interior design, lighting, and décor? ], "Easy")) / COUNTIF(OfficeForms.Table[How was our Atmosphere?.How appealing did you find the café’s interior design, lighting, and décor? ], "&lt;&gt;")</f>
        <v>0.78947368421052633</v>
      </c>
    </row>
    <row r="29" spans="1:2" x14ac:dyDescent="0.3">
      <c r="A29" s="5" t="s">
        <v>24</v>
      </c>
      <c r="B29" s="6">
        <f>(COUNTIF(OfficeForms.Table[How was our Atmosphere?.How relaxing and enjoyable was the café environment during your visit (music, noise level, seating)? ], "Very Easy") + COUNTIF(OfficeForms.Table[How was our Atmosphere?.How relaxing and enjoyable was the café environment during your visit (music, noise level, seating)? ], "Easy")) / COUNTIF(OfficeForms.Table[How was our Atmosphere?.How relaxing and enjoyable was the café environment during your visit (music, noise level, seating)? ], "&lt;&gt;")</f>
        <v>0.84210526315789469</v>
      </c>
    </row>
    <row r="32" spans="1:2" ht="40.049999999999997" customHeight="1" x14ac:dyDescent="0.3">
      <c r="A32" s="18" t="s">
        <v>25</v>
      </c>
      <c r="B32" s="18"/>
    </row>
    <row r="33" spans="1:2" ht="30" customHeight="1" x14ac:dyDescent="0.3">
      <c r="A33" s="11" t="s">
        <v>16</v>
      </c>
      <c r="B33" s="11" t="s">
        <v>17</v>
      </c>
    </row>
    <row r="34" spans="1:2" x14ac:dyDescent="0.3">
      <c r="A34" s="5" t="s">
        <v>26</v>
      </c>
      <c r="B34" s="6" t="e">
        <f>(COUNTIF(#REF!, "Excellent") + COUNTIF(#REF!, "Good")) / COUNTIF(#REF!, "&lt;&gt;")</f>
        <v>#REF!</v>
      </c>
    </row>
    <row r="35" spans="1:2" x14ac:dyDescent="0.3">
      <c r="A35" s="5" t="s">
        <v>27</v>
      </c>
      <c r="B35" s="6" t="e">
        <f>(COUNTIF(#REF!, "Excellent") + COUNTIF(#REF!, "Good")) / COUNTIF(#REF!, "&lt;&gt;")</f>
        <v>#REF!</v>
      </c>
    </row>
    <row r="36" spans="1:2" x14ac:dyDescent="0.3">
      <c r="A36" s="5" t="s">
        <v>28</v>
      </c>
      <c r="B36" s="6" t="e">
        <f>(COUNTIF(#REF!, "Excellent") + COUNTIF(#REF!, "Good")) / COUNTIF(#REF!, "&lt;&gt;")</f>
        <v>#REF!</v>
      </c>
    </row>
  </sheetData>
  <mergeCells count="5">
    <mergeCell ref="A4:C4"/>
    <mergeCell ref="A11:C11"/>
    <mergeCell ref="A18:B18"/>
    <mergeCell ref="A25:B25"/>
    <mergeCell ref="A32:B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3CE4-75E9-4742-A37A-FA729E6F6328}">
  <dimension ref="A1:B20"/>
  <sheetViews>
    <sheetView workbookViewId="0"/>
  </sheetViews>
  <sheetFormatPr defaultRowHeight="14.4" x14ac:dyDescent="0.3"/>
  <cols>
    <col min="1" max="1" width="2.88671875" bestFit="1" customWidth="1"/>
    <col min="2" max="2" width="45.77734375" bestFit="1" customWidth="1"/>
  </cols>
  <sheetData>
    <row r="1" spans="1:2" x14ac:dyDescent="0.3">
      <c r="A1" s="12" t="s">
        <v>0</v>
      </c>
      <c r="B1" s="12" t="s">
        <v>8</v>
      </c>
    </row>
    <row r="2" spans="1:2" x14ac:dyDescent="0.3">
      <c r="A2" s="5" cm="1">
        <f t="array" ref="A2:A20">IF(ISBLANK(OfficeForms.Table[Id]), "", OfficeForms.Table[Id])</f>
        <v>1</v>
      </c>
      <c r="B2" s="5" t="str" cm="1">
        <f t="array" ref="B2:B20">IF(ISBLANK(OfficeForms.Table[What did you like most about you''re experience?]), "", OfficeForms.Table[What did you like most about you''re experience?])</f>
        <v>The cozy cafe vibe and the lighting was nice</v>
      </c>
    </row>
    <row r="3" spans="1:2" x14ac:dyDescent="0.3">
      <c r="A3">
        <v>2</v>
      </c>
      <c r="B3" t="str">
        <v>Friendly staff</v>
      </c>
    </row>
    <row r="4" spans="1:2" x14ac:dyDescent="0.3">
      <c r="A4">
        <v>3</v>
      </c>
      <c r="B4" t="str">
        <v>the coffee</v>
      </c>
    </row>
    <row r="5" spans="1:2" x14ac:dyDescent="0.3">
      <c r="A5">
        <v>4</v>
      </c>
      <c r="B5" t="str">
        <v xml:space="preserve">The drink was very well crafted </v>
      </c>
    </row>
    <row r="6" spans="1:2" x14ac:dyDescent="0.3">
      <c r="A6">
        <v>5</v>
      </c>
      <c r="B6" t="str">
        <v>cleanliness</v>
      </c>
    </row>
    <row r="7" spans="1:2" x14ac:dyDescent="0.3">
      <c r="A7">
        <v>6</v>
      </c>
      <c r="B7" t="str">
        <v>the food</v>
      </c>
    </row>
    <row r="8" spans="1:2" x14ac:dyDescent="0.3">
      <c r="A8">
        <v>7</v>
      </c>
      <c r="B8" t="str">
        <v>the astetic view and thee arts on the wall</v>
      </c>
    </row>
    <row r="9" spans="1:2" x14ac:dyDescent="0.3">
      <c r="A9">
        <v>8</v>
      </c>
      <c r="B9" t="str">
        <v xml:space="preserve">Everything </v>
      </c>
    </row>
    <row r="10" spans="1:2" x14ac:dyDescent="0.3">
      <c r="A10">
        <v>9</v>
      </c>
      <c r="B10" t="str">
        <v>The cafe has a nice and relaxing atmosphere, and the coffee was good.</v>
      </c>
    </row>
    <row r="11" spans="1:2" x14ac:dyDescent="0.3">
      <c r="A11">
        <v>10</v>
      </c>
      <c r="B11" t="str">
        <v>Music</v>
      </c>
    </row>
    <row r="12" spans="1:2" x14ac:dyDescent="0.3">
      <c r="A12">
        <v>11</v>
      </c>
      <c r="B12" t="str">
        <v>The vibes and relaxation I got from being in the establishment</v>
      </c>
    </row>
    <row r="13" spans="1:2" x14ac:dyDescent="0.3">
      <c r="A13">
        <v>12</v>
      </c>
      <c r="B13" t="str">
        <v>Customer service</v>
      </c>
    </row>
    <row r="14" spans="1:2" x14ac:dyDescent="0.3">
      <c r="A14">
        <v>13</v>
      </c>
      <c r="B14" t="str">
        <v>not a big fan of coffee, but enjoyed the music</v>
      </c>
    </row>
    <row r="15" spans="1:2" x14ac:dyDescent="0.3">
      <c r="A15">
        <v>14</v>
      </c>
      <c r="B15" t="str">
        <v>The quality of coffee</v>
      </c>
    </row>
    <row r="16" spans="1:2" x14ac:dyDescent="0.3">
      <c r="A16">
        <v>15</v>
      </c>
      <c r="B16" t="str">
        <v>Staff friendliness</v>
      </c>
    </row>
    <row r="17" spans="1:2" x14ac:dyDescent="0.3">
      <c r="A17">
        <v>16</v>
      </c>
      <c r="B17" t="str">
        <v>More dairy free drinks please</v>
      </c>
    </row>
    <row r="18" spans="1:2" x14ac:dyDescent="0.3">
      <c r="A18">
        <v>17</v>
      </c>
      <c r="B18" t="str">
        <v xml:space="preserve">overall atmosphere </v>
      </c>
    </row>
    <row r="19" spans="1:2" x14ac:dyDescent="0.3">
      <c r="A19">
        <v>18</v>
      </c>
      <c r="B19" t="str">
        <v>I enjoyed the hospitality</v>
      </c>
    </row>
    <row r="20" spans="1:2" x14ac:dyDescent="0.3">
      <c r="A20">
        <v>19</v>
      </c>
      <c r="B20" t="str">
        <v>I like the atmosphere of theme of the cafe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C6C4-8FDA-43CD-8F27-68F611F9B12F}">
  <dimension ref="A1:B20"/>
  <sheetViews>
    <sheetView workbookViewId="0"/>
  </sheetViews>
  <sheetFormatPr defaultRowHeight="14.4" x14ac:dyDescent="0.3"/>
  <cols>
    <col min="1" max="1" width="2.88671875" bestFit="1" customWidth="1"/>
    <col min="2" max="2" width="40.109375" bestFit="1" customWidth="1"/>
  </cols>
  <sheetData>
    <row r="1" spans="1:2" x14ac:dyDescent="0.3">
      <c r="A1" s="12" t="s">
        <v>0</v>
      </c>
      <c r="B1" s="12" t="s">
        <v>9</v>
      </c>
    </row>
    <row r="2" spans="1:2" x14ac:dyDescent="0.3">
      <c r="A2" s="5" cm="1">
        <f t="array" ref="A2:A20">IF(ISBLANK(OfficeForms.Table[Id]), "", OfficeForms.Table[Id])</f>
        <v>1</v>
      </c>
      <c r="B2" s="5" t="str" cm="1">
        <f t="array" ref="B2:B20">IF(ISBLANK(OfficeForms.Table[Which areas could be improved?]), "", OfficeForms.Table[Which areas could be improved?])</f>
        <v>Maybe more food options</v>
      </c>
    </row>
    <row r="3" spans="1:2" x14ac:dyDescent="0.3">
      <c r="A3">
        <v>2</v>
      </c>
      <c r="B3" t="str">
        <v>More pastry options.</v>
      </c>
    </row>
    <row r="4" spans="1:2" x14ac:dyDescent="0.3">
      <c r="A4">
        <v>3</v>
      </c>
      <c r="B4" t="str">
        <v>Better music</v>
      </c>
    </row>
    <row r="5" spans="1:2" x14ac:dyDescent="0.3">
      <c r="A5">
        <v>4</v>
      </c>
      <c r="B5" t="str">
        <v xml:space="preserve">Maybe add more items to the menu for variety </v>
      </c>
    </row>
    <row r="6" spans="1:2" x14ac:dyDescent="0.3">
      <c r="A6">
        <v>5</v>
      </c>
      <c r="B6" t="str">
        <v>price</v>
      </c>
    </row>
    <row r="7" spans="1:2" x14ac:dyDescent="0.3">
      <c r="A7">
        <v>6</v>
      </c>
      <c r="B7" t="str">
        <v xml:space="preserve">customer service always busy </v>
      </c>
    </row>
    <row r="8" spans="1:2" x14ac:dyDescent="0.3">
      <c r="A8">
        <v>7</v>
      </c>
      <c r="B8" t="str">
        <v>all good keep it up</v>
      </c>
    </row>
    <row r="9" spans="1:2" x14ac:dyDescent="0.3">
      <c r="A9">
        <v>8</v>
      </c>
      <c r="B9" t="str">
        <v xml:space="preserve">Nothing </v>
      </c>
    </row>
    <row r="10" spans="1:2" x14ac:dyDescent="0.3">
      <c r="A10">
        <v>9</v>
      </c>
      <c r="B10" t="str">
        <v>Faster service and more seating during busy hours.</v>
      </c>
    </row>
    <row r="11" spans="1:2" x14ac:dyDescent="0.3">
      <c r="A11">
        <v>10</v>
      </c>
      <c r="B11" t="str">
        <v>Table and chair comfort</v>
      </c>
    </row>
    <row r="12" spans="1:2" x14ac:dyDescent="0.3">
      <c r="A12">
        <v>11</v>
      </c>
      <c r="B12" t="str">
        <v>More ambient lights!</v>
      </c>
    </row>
    <row r="13" spans="1:2" x14ac:dyDescent="0.3">
      <c r="A13">
        <v>12</v>
      </c>
      <c r="B13" t="str">
        <v>Quality of food</v>
      </c>
    </row>
    <row r="14" spans="1:2" x14ac:dyDescent="0.3">
      <c r="A14">
        <v>13</v>
      </c>
      <c r="B14" t="str">
        <v>more non-coffee drinks</v>
      </c>
    </row>
    <row r="15" spans="1:2" x14ac:dyDescent="0.3">
      <c r="A15">
        <v>14</v>
      </c>
      <c r="B15" t="str">
        <v>Service can be more friendly</v>
      </c>
    </row>
    <row r="16" spans="1:2" x14ac:dyDescent="0.3">
      <c r="A16">
        <v>15</v>
      </c>
      <c r="B16" t="str">
        <v>N/A</v>
      </c>
    </row>
    <row r="17" spans="1:2" x14ac:dyDescent="0.3">
      <c r="A17">
        <v>16</v>
      </c>
      <c r="B17" t="str">
        <v>wait time</v>
      </c>
    </row>
    <row r="18" spans="1:2" x14ac:dyDescent="0.3">
      <c r="A18">
        <v>17</v>
      </c>
      <c r="B18" t="str">
        <v xml:space="preserve">wait time </v>
      </c>
    </row>
    <row r="19" spans="1:2" x14ac:dyDescent="0.3">
      <c r="A19">
        <v>18</v>
      </c>
      <c r="B19" t="str">
        <v>The shorter a line the better.</v>
      </c>
    </row>
    <row r="20" spans="1:2" x14ac:dyDescent="0.3">
      <c r="A20">
        <v>19</v>
      </c>
      <c r="B20" t="str">
        <v>The staff could be a little more helpful. Give more details on the menu items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18F7-1936-45EA-A61A-D9FB12DAAC55}">
  <dimension ref="A1:B20"/>
  <sheetViews>
    <sheetView workbookViewId="0"/>
  </sheetViews>
  <sheetFormatPr defaultRowHeight="14.4" x14ac:dyDescent="0.3"/>
  <cols>
    <col min="1" max="1" width="2.88671875" bestFit="1" customWidth="1"/>
    <col min="2" max="2" width="46.109375" bestFit="1" customWidth="1"/>
  </cols>
  <sheetData>
    <row r="1" spans="1:2" x14ac:dyDescent="0.3">
      <c r="A1" s="12" t="s">
        <v>0</v>
      </c>
      <c r="B1" s="12" t="s">
        <v>10</v>
      </c>
    </row>
    <row r="2" spans="1:2" x14ac:dyDescent="0.3">
      <c r="A2" s="5" cm="1">
        <f t="array" ref="A2:A20">IF(ISBLANK(OfficeForms.Table[Id]), "", OfficeForms.Table[Id])</f>
        <v>1</v>
      </c>
      <c r="B2" s="5" t="str" cm="1">
        <f t="array" ref="B2:B20">IF(ISBLANK(OfficeForms.Table[Any additional suggestions, comments, or concerns?]), "", OfficeForms.Table[Any additional suggestions, comments, or concerns?])</f>
        <v>Maybe add a loyalty program</v>
      </c>
    </row>
    <row r="3" spans="1:2" x14ac:dyDescent="0.3">
      <c r="A3">
        <v>2</v>
      </c>
      <c r="B3" t="str">
        <v>n/a</v>
      </c>
    </row>
    <row r="4" spans="1:2" x14ac:dyDescent="0.3">
      <c r="A4">
        <v>3</v>
      </c>
      <c r="B4" t="str">
        <v>N/a</v>
      </c>
    </row>
    <row r="5" spans="1:2" x14ac:dyDescent="0.3">
      <c r="A5">
        <v>4</v>
      </c>
      <c r="B5" t="str">
        <v/>
      </c>
    </row>
    <row r="6" spans="1:2" x14ac:dyDescent="0.3">
      <c r="A6">
        <v>5</v>
      </c>
      <c r="B6" t="str">
        <v/>
      </c>
    </row>
    <row r="7" spans="1:2" x14ac:dyDescent="0.3">
      <c r="A7">
        <v>6</v>
      </c>
      <c r="B7" t="str">
        <v xml:space="preserve">servers can be more attentive </v>
      </c>
    </row>
    <row r="8" spans="1:2" x14ac:dyDescent="0.3">
      <c r="A8">
        <v>7</v>
      </c>
      <c r="B8" t="str">
        <v/>
      </c>
    </row>
    <row r="9" spans="1:2" x14ac:dyDescent="0.3">
      <c r="A9">
        <v>8</v>
      </c>
      <c r="B9" t="str">
        <v/>
      </c>
    </row>
    <row r="10" spans="1:2" x14ac:dyDescent="0.3">
      <c r="A10">
        <v>9</v>
      </c>
      <c r="B10" t="str">
        <v>Overall, it was a good experience. The café is comfortable and a nice place to relax or study.</v>
      </c>
    </row>
    <row r="11" spans="1:2" x14ac:dyDescent="0.3">
      <c r="A11">
        <v>10</v>
      </c>
      <c r="B11" t="str">
        <v>More food options would be great</v>
      </c>
    </row>
    <row r="12" spans="1:2" x14ac:dyDescent="0.3">
      <c r="A12">
        <v>11</v>
      </c>
      <c r="B12" t="str">
        <v>N/A</v>
      </c>
    </row>
    <row r="13" spans="1:2" x14ac:dyDescent="0.3">
      <c r="A13">
        <v>12</v>
      </c>
      <c r="B13" t="str">
        <v>No</v>
      </c>
    </row>
    <row r="14" spans="1:2" x14ac:dyDescent="0.3">
      <c r="A14">
        <v>13</v>
      </c>
      <c r="B14" t="str">
        <v>change to "your (possessive) than "you're (conjunction, you + are)"</v>
      </c>
    </row>
    <row r="15" spans="1:2" x14ac:dyDescent="0.3">
      <c r="A15">
        <v>14</v>
      </c>
      <c r="B15" t="str">
        <v>In my last visit, barista was PISSED at my customizations. But it's generally nice staff other than that.</v>
      </c>
    </row>
    <row r="16" spans="1:2" x14ac:dyDescent="0.3">
      <c r="A16">
        <v>15</v>
      </c>
      <c r="B16" t="str">
        <v>N/A</v>
      </c>
    </row>
    <row r="17" spans="1:2" x14ac:dyDescent="0.3">
      <c r="A17">
        <v>16</v>
      </c>
      <c r="B17" t="str">
        <v>n/a</v>
      </c>
    </row>
    <row r="18" spans="1:2" x14ac:dyDescent="0.3">
      <c r="A18">
        <v>17</v>
      </c>
      <c r="B18" t="str">
        <v/>
      </c>
    </row>
    <row r="19" spans="1:2" x14ac:dyDescent="0.3">
      <c r="A19">
        <v>18</v>
      </c>
      <c r="B19" t="str">
        <v/>
      </c>
    </row>
    <row r="20" spans="1:2" x14ac:dyDescent="0.3">
      <c r="A20">
        <v>19</v>
      </c>
      <c r="B20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Responses</vt:lpstr>
      <vt:lpstr>Summary</vt:lpstr>
      <vt:lpstr>Likes</vt:lpstr>
      <vt:lpstr>Improvements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ocampo</dc:creator>
  <cp:lastModifiedBy>david ocampo</cp:lastModifiedBy>
  <dcterms:created xsi:type="dcterms:W3CDTF">2026-04-09T18:04:28Z</dcterms:created>
  <dcterms:modified xsi:type="dcterms:W3CDTF">2026-04-13T16:33:00Z</dcterms:modified>
</cp:coreProperties>
</file>